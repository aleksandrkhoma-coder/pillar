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BS ризиків" sheetId="1" state="visible" r:id="rId3"/>
    <sheet name="Реєстр ризиків" sheetId="2" state="visible" r:id="rId4"/>
    <sheet name="Матриця 5x5" sheetId="3" state="visible" r:id="rId5"/>
    <sheet name="Довідник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ОУП</author>
  </authors>
  <commentList>
    <comment ref="H2" authorId="0">
      <text>
        <r>
          <rPr>
            <sz val="10"/>
            <rFont val="Arial"/>
            <family val="2"/>
          </rPr>
          <t xml:space="preserve">Бал = Ймовірність × Вплив (перше число зі списку 1–5). Формула.</t>
        </r>
      </text>
    </comment>
  </commentList>
</comments>
</file>

<file path=xl/sharedStrings.xml><?xml version="1.0" encoding="utf-8"?>
<sst xmlns="http://schemas.openxmlformats.org/spreadsheetml/2006/main" count="306" uniqueCount="294">
  <si>
    <t xml:space="preserve">Структура ризиків (Risk Breakdown Structure) — Greensource SGM 110 MWp · Фаза 2 (випробування 50 геошурупів)</t>
  </si>
  <si>
    <t xml:space="preserve">Таксономія категорій ризику для затвердження. Після погодження — заповнюємо лист «Реєстр ризиків» (коди беруться звідси).</t>
  </si>
  <si>
    <t xml:space="preserve">Код</t>
  </si>
  <si>
    <t xml:space="preserve">Категорія / підкатегорія</t>
  </si>
  <si>
    <t xml:space="preserve">Опис</t>
  </si>
  <si>
    <t xml:space="preserve">Приклади ризиків (Фаза 2)</t>
  </si>
  <si>
    <t xml:space="preserve">R1</t>
  </si>
  <si>
    <t xml:space="preserve">Технічні та методика випробувань</t>
  </si>
  <si>
    <t xml:space="preserve">Ризики процедури, оснастки та вимірювань pull-out і стиск</t>
  </si>
  <si>
    <t xml:space="preserve">R1.1</t>
  </si>
  <si>
    <t xml:space="preserve">Методика pull-out / стиск</t>
  </si>
  <si>
    <t xml:space="preserve">Некоректна процедура, послідовність, швидкість навантаження</t>
  </si>
  <si>
    <t xml:space="preserve">Неправильне прикладання зусилля → недостовірний результат</t>
  </si>
  <si>
    <t xml:space="preserve">R1.2</t>
  </si>
  <si>
    <t xml:space="preserve">Реакційна система та анкери</t>
  </si>
  <si>
    <t xml:space="preserve">Недостатня несуча реакційної рами/анкерів</t>
  </si>
  <si>
    <t xml:space="preserve">Зрив анкерів під час виривання → зупинка тесту, ризик травми</t>
  </si>
  <si>
    <t xml:space="preserve">R1.3</t>
  </si>
  <si>
    <t xml:space="preserve">Похибка вимірювань / повірка</t>
  </si>
  <si>
    <t xml:space="preserve">Некалібровані динамометр, індикатори переміщень</t>
  </si>
  <si>
    <t xml:space="preserve">Прострочена повірка → дані не приймаються замовником</t>
  </si>
  <si>
    <t xml:space="preserve">R1.4</t>
  </si>
  <si>
    <t xml:space="preserve">Інтерпретація / критерії приймання</t>
  </si>
  <si>
    <t xml:space="preserve">Розбіжність у критеріях «пройшов/не пройшов»</t>
  </si>
  <si>
    <t xml:space="preserve">Неузгоджені з замовником критерії → переробка звіту</t>
  </si>
  <si>
    <t xml:space="preserve">R2</t>
  </si>
  <si>
    <t xml:space="preserve">Ґрунтові та геотехнічні умови</t>
  </si>
  <si>
    <t xml:space="preserve">Ризики від змінності та стану ґрунтів на полі</t>
  </si>
  <si>
    <t xml:space="preserve">R2.1</t>
  </si>
  <si>
    <t xml:space="preserve">Неоднорідність ґрунтів по полю</t>
  </si>
  <si>
    <t xml:space="preserve">Різна несуча по 50 точках</t>
  </si>
  <si>
    <t xml:space="preserve">Розкид результатів → потреба в додаткових точках</t>
  </si>
  <si>
    <t xml:space="preserve">R2.2</t>
  </si>
  <si>
    <t xml:space="preserve">Тверді включення / камені</t>
  </si>
  <si>
    <t xml:space="preserve">Перешкоди при предрилі/вкрученні</t>
  </si>
  <si>
    <t xml:space="preserve">Поломка коронки/шурупа, зупинка на точці</t>
  </si>
  <si>
    <t xml:space="preserve">R2.3</t>
  </si>
  <si>
    <t xml:space="preserve">Ґрунтові води / обводнення</t>
  </si>
  <si>
    <t xml:space="preserve">Високий рівень води, обводнені точки</t>
  </si>
  <si>
    <t xml:space="preserve">Ускладнене буріння, спотворення тесту стиск</t>
  </si>
  <si>
    <t xml:space="preserve">R2.4</t>
  </si>
  <si>
    <t xml:space="preserve">Відхилення факту від проєкту</t>
  </si>
  <si>
    <t xml:space="preserve">Фактичні умови гірші за проєктні</t>
  </si>
  <si>
    <t xml:space="preserve">Перегляд рішень по фундаментах → вплив на графік</t>
  </si>
  <si>
    <t xml:space="preserve">R3</t>
  </si>
  <si>
    <t xml:space="preserve">Обладнання та інструмент</t>
  </si>
  <si>
    <t xml:space="preserve">Ризики надійності й доступності техніки</t>
  </si>
  <si>
    <t xml:space="preserve">R3.1</t>
  </si>
  <si>
    <t xml:space="preserve">Поломка ГАЙКа / предрил-установки</t>
  </si>
  <si>
    <t xml:space="preserve">Відмова ключового обладнання монтажу</t>
  </si>
  <si>
    <t xml:space="preserve">Простій бригади до ремонту/заміни</t>
  </si>
  <si>
    <t xml:space="preserve">R3.2</t>
  </si>
  <si>
    <t xml:space="preserve">Затримка/недоступність оренди</t>
  </si>
  <si>
    <t xml:space="preserve">Орендодавець не надав техніку вчасно</t>
  </si>
  <si>
    <t xml:space="preserve">Зсув старту польових робіт</t>
  </si>
  <si>
    <t xml:space="preserve">R3.3</t>
  </si>
  <si>
    <t xml:space="preserve">Поломка квадроцикла / генератора</t>
  </si>
  <si>
    <t xml:space="preserve">Відмова допоміжної техніки/живлення</t>
  </si>
  <si>
    <t xml:space="preserve">Втрата мобільності або живлення приладів</t>
  </si>
  <si>
    <t xml:space="preserve">R3.4</t>
  </si>
  <si>
    <t xml:space="preserve">Знос/пошкодження тест-комплекту</t>
  </si>
  <si>
    <t xml:space="preserve">Домкрат, насос, індикатори виходять з ладу</t>
  </si>
  <si>
    <t xml:space="preserve">Зупинка випробувань до заміни</t>
  </si>
  <si>
    <t xml:space="preserve">R3.5</t>
  </si>
  <si>
    <t xml:space="preserve">Дефіцит витратників / ПММ</t>
  </si>
  <si>
    <t xml:space="preserve">Брак коронок, свердел, пального</t>
  </si>
  <si>
    <t xml:space="preserve">Позапланові закупівлі, простій</t>
  </si>
  <si>
    <t xml:space="preserve">R4</t>
  </si>
  <si>
    <t xml:space="preserve">Погодні та польові умови</t>
  </si>
  <si>
    <t xml:space="preserve">Ризики від погоди й умов роботи на полі</t>
  </si>
  <si>
    <t xml:space="preserve">R4.1</t>
  </si>
  <si>
    <t xml:space="preserve">Жара</t>
  </si>
  <si>
    <t xml:space="preserve">Перегрів людей і техніки, зневоднення</t>
  </si>
  <si>
    <t xml:space="preserve">Зниження темпу, ризик для здоров'я, перегрів гідравліки</t>
  </si>
  <si>
    <t xml:space="preserve">R4.2</t>
  </si>
  <si>
    <t xml:space="preserve">Дощ / грози</t>
  </si>
  <si>
    <t xml:space="preserve">Простій, розмокання, небезпека блискавки</t>
  </si>
  <si>
    <t xml:space="preserve">Втрата робочих днів, перенесення тестів</t>
  </si>
  <si>
    <t xml:space="preserve">R4.3</t>
  </si>
  <si>
    <t xml:space="preserve">Вітер і пил</t>
  </si>
  <si>
    <t xml:space="preserve">Забруднення приладів, дискомфорт</t>
  </si>
  <si>
    <t xml:space="preserve">Похибка вимірювань, знос обладнання</t>
  </si>
  <si>
    <t xml:space="preserve">R4.4</t>
  </si>
  <si>
    <t xml:space="preserve">Доступ до поля</t>
  </si>
  <si>
    <t xml:space="preserve">Багно, непроїзні під'їзди після дощу</t>
  </si>
  <si>
    <t xml:space="preserve">Неможливість дістатися точок, простій</t>
  </si>
  <si>
    <t xml:space="preserve">R5</t>
  </si>
  <si>
    <t xml:space="preserve">Персонал, безпека та HSE</t>
  </si>
  <si>
    <t xml:space="preserve">Ризики людей, компетенцій і охорони праці</t>
  </si>
  <si>
    <t xml:space="preserve">R5.1</t>
  </si>
  <si>
    <t xml:space="preserve">Залежність від одного експерта</t>
  </si>
  <si>
    <t xml:space="preserve">Тестування — вузьке місце (1 експерт/бригаду)</t>
  </si>
  <si>
    <t xml:space="preserve">Хвороба/вибуття експерта → зупинка тестування</t>
  </si>
  <si>
    <t xml:space="preserve">R5.2</t>
  </si>
  <si>
    <t xml:space="preserve">Травматизм / нещасний випадок</t>
  </si>
  <si>
    <t xml:space="preserve">Робота з навантаженнями, технікою в полі</t>
  </si>
  <si>
    <t xml:space="preserve">Зупинка робіт, розслідування, репутація</t>
  </si>
  <si>
    <t xml:space="preserve">R5.3</t>
  </si>
  <si>
    <t xml:space="preserve">Недобір/некомпетентність бригад</t>
  </si>
  <si>
    <t xml:space="preserve">Немає потрібної к-сті кваліфікованих людей</t>
  </si>
  <si>
    <t xml:space="preserve">Нижча продуктивність, помилки</t>
  </si>
  <si>
    <t xml:space="preserve">R5.4</t>
  </si>
  <si>
    <t xml:space="preserve">Хвороба / вибуття ключових людей</t>
  </si>
  <si>
    <t xml:space="preserve">Втрата оператора/супервайзера</t>
  </si>
  <si>
    <t xml:space="preserve">Зрив графіка бригади</t>
  </si>
  <si>
    <t xml:space="preserve">R5.5</t>
  </si>
  <si>
    <t xml:space="preserve">Порушення ТБ / вимог замовника з ОП</t>
  </si>
  <si>
    <t xml:space="preserve">Недотримання правил майданчика</t>
  </si>
  <si>
    <t xml:space="preserve">Відсторонення від об'єкта, штрафи</t>
  </si>
  <si>
    <t xml:space="preserve">R6</t>
  </si>
  <si>
    <t xml:space="preserve">Логістика та відрядження</t>
  </si>
  <si>
    <t xml:space="preserve">Ризики переміщень, проживання, віддаленості</t>
  </si>
  <si>
    <t xml:space="preserve">R6.1</t>
  </si>
  <si>
    <t xml:space="preserve">Мобілізація/демобілізація обладнання</t>
  </si>
  <si>
    <t xml:space="preserve">Затримка або пошкодження при перевезенні</t>
  </si>
  <si>
    <t xml:space="preserve">Зсув старту/завершення, дод. витрати</t>
  </si>
  <si>
    <t xml:space="preserve">R6.2</t>
  </si>
  <si>
    <t xml:space="preserve">Проживання та відрядження</t>
  </si>
  <si>
    <t xml:space="preserve">Недоступність готелів, зростання витрат</t>
  </si>
  <si>
    <t xml:space="preserve">Перевитрата бюджету відрядження, втома бригад</t>
  </si>
  <si>
    <t xml:space="preserve">R6.3</t>
  </si>
  <si>
    <t xml:space="preserve">Віддаленість майданчика / зв'язок</t>
  </si>
  <si>
    <t xml:space="preserve">Погана логістика, слабкий зв'язок</t>
  </si>
  <si>
    <t xml:space="preserve">Затримки постачання, координації</t>
  </si>
  <si>
    <t xml:space="preserve">R6.4</t>
  </si>
  <si>
    <t xml:space="preserve">Переміщення / митниця</t>
  </si>
  <si>
    <t xml:space="preserve">Ускладнення при ввезенні обладнання (за потреби)</t>
  </si>
  <si>
    <t xml:space="preserve">Затримка на кордоні → зсув старту</t>
  </si>
  <si>
    <t xml:space="preserve">R7</t>
  </si>
  <si>
    <t xml:space="preserve">Графік, ресурси та бюджет</t>
  </si>
  <si>
    <t xml:space="preserve">Ризики планування, продуктивності й вартості</t>
  </si>
  <si>
    <t xml:space="preserve">R7.1</t>
  </si>
  <si>
    <t xml:space="preserve">Недооцінка тривалості (5→50)</t>
  </si>
  <si>
    <t xml:space="preserve">Масштаб від пілоту недооцінено</t>
  </si>
  <si>
    <t xml:space="preserve">Зрив дедлайну Фази 2</t>
  </si>
  <si>
    <t xml:space="preserve">R7.2</t>
  </si>
  <si>
    <t xml:space="preserve">Продуктивність нижча за Фазу 1</t>
  </si>
  <si>
    <t xml:space="preserve">Реальні темпи &lt; 2,5/1,0 точки на день</t>
  </si>
  <si>
    <t xml:space="preserve">Більше бригадо-днів, зростання бюджету</t>
  </si>
  <si>
    <t xml:space="preserve">R7.3</t>
  </si>
  <si>
    <t xml:space="preserve">Брак бригад / комплектів обладнання</t>
  </si>
  <si>
    <t xml:space="preserve">Менше ресурсу, ніж потрібно</t>
  </si>
  <si>
    <t xml:space="preserve">Подовження строку, вузьке місце тесту</t>
  </si>
  <si>
    <t xml:space="preserve">R7.4</t>
  </si>
  <si>
    <t xml:space="preserve">Накопичення простоїв</t>
  </si>
  <si>
    <t xml:space="preserve">Погода + поломки сумарно</t>
  </si>
  <si>
    <t xml:space="preserve">Кумулятивний зсув графіка</t>
  </si>
  <si>
    <t xml:space="preserve">R7.5</t>
  </si>
  <si>
    <t xml:space="preserve">Перевитрата бюджету / курс €</t>
  </si>
  <si>
    <t xml:space="preserve">Зростання цін, коливання курсу</t>
  </si>
  <si>
    <t xml:space="preserve">Вихід за кошторис</t>
  </si>
  <si>
    <t xml:space="preserve">R8</t>
  </si>
  <si>
    <t xml:space="preserve">Зовнішні, контрактні та звітність</t>
  </si>
  <si>
    <t xml:space="preserve">Ризики середовища, замовника й результатів</t>
  </si>
  <si>
    <t xml:space="preserve">R8.1</t>
  </si>
  <si>
    <t xml:space="preserve">Доступ і дозволи на майданчик</t>
  </si>
  <si>
    <t xml:space="preserve">Greensource/EPC не надали доступ вчасно</t>
  </si>
  <si>
    <t xml:space="preserve">Простій, зсув старту</t>
  </si>
  <si>
    <t xml:space="preserve">R8.2</t>
  </si>
  <si>
    <t xml:space="preserve">Зміна обсягу замовником</t>
  </si>
  <si>
    <t xml:space="preserve">+ точки або + види тестів</t>
  </si>
  <si>
    <t xml:space="preserve">Перепланування ресурсів і бюджету</t>
  </si>
  <si>
    <t xml:space="preserve">R8.3</t>
  </si>
  <si>
    <t xml:space="preserve">Взаємодія з генпідрядником/іншими</t>
  </si>
  <si>
    <t xml:space="preserve">Конфлікт робіт на одному полі</t>
  </si>
  <si>
    <t xml:space="preserve">Обмеження зон/часу робіт</t>
  </si>
  <si>
    <t xml:space="preserve">R8.4</t>
  </si>
  <si>
    <t xml:space="preserve">Втрата/неповнота даних вимірювань</t>
  </si>
  <si>
    <t xml:space="preserve">Пошкодження записів, пропуск точок</t>
  </si>
  <si>
    <t xml:space="preserve">Повторні виїзди, недостовірний звіт</t>
  </si>
  <si>
    <t xml:space="preserve">R8.5</t>
  </si>
  <si>
    <t xml:space="preserve">Затримка / невідповідність звіту</t>
  </si>
  <si>
    <t xml:space="preserve">Звіт не за строком або не за стандартом</t>
  </si>
  <si>
    <t xml:space="preserve">Незадоволення замовника, оплата</t>
  </si>
  <si>
    <t xml:space="preserve">Реєстр ризиків — Greensource SGM 110 MWp · Фаза 2 · (заповнюємо після затвердження структури)</t>
  </si>
  <si>
    <t xml:space="preserve">ID</t>
  </si>
  <si>
    <t xml:space="preserve">Дата</t>
  </si>
  <si>
    <t xml:space="preserve">Категорія RBS</t>
  </si>
  <si>
    <t xml:space="preserve">Тип</t>
  </si>
  <si>
    <t xml:space="preserve">Опис ризику (причина→подія→наслідок)</t>
  </si>
  <si>
    <t xml:space="preserve">Ймовір. (1-5)</t>
  </si>
  <si>
    <t xml:space="preserve">Вплив (1-5)</t>
  </si>
  <si>
    <t xml:space="preserve">Бал</t>
  </si>
  <si>
    <t xml:space="preserve">Рівень</t>
  </si>
  <si>
    <t xml:space="preserve">Стратегія</t>
  </si>
  <si>
    <t xml:space="preserve">Дії з реагування</t>
  </si>
  <si>
    <t xml:space="preserve">Власник</t>
  </si>
  <si>
    <t xml:space="preserve">Тригери / індикатори</t>
  </si>
  <si>
    <t xml:space="preserve">Термін</t>
  </si>
  <si>
    <t xml:space="preserve">Резерв, €</t>
  </si>
  <si>
    <t xml:space="preserve">Залишк. ризик</t>
  </si>
  <si>
    <t xml:space="preserve">Статус</t>
  </si>
  <si>
    <t xml:space="preserve">Коментар</t>
  </si>
  <si>
    <t xml:space="preserve">2026-08-01</t>
  </si>
  <si>
    <t xml:space="preserve">R4.2 · Дощ / грози</t>
  </si>
  <si>
    <t xml:space="preserve">Загроза</t>
  </si>
  <si>
    <t xml:space="preserve">Затяжні дощі в польовий період → простій бригад і перенесення тестів → зсув графіка Фази 2</t>
  </si>
  <si>
    <t xml:space="preserve">Зменшити</t>
  </si>
  <si>
    <t xml:space="preserve">Буфер у графіку; гнучкі дати; тенти; моніторинг прогнозу</t>
  </si>
  <si>
    <t xml:space="preserve">Керівник польових робіт</t>
  </si>
  <si>
    <t xml:space="preserve">Прогноз дощу &gt;2 днів поспіль</t>
  </si>
  <si>
    <t xml:space="preserve">поточно</t>
  </si>
  <si>
    <t xml:space="preserve">Відкритий</t>
  </si>
  <si>
    <t xml:space="preserve">ПРИКЛАД — замінити/видалити</t>
  </si>
  <si>
    <t xml:space="preserve">Кількість за рівнями →</t>
  </si>
  <si>
    <t xml:space="preserve">Матриця ймовірність × вплив (рівні ризику)</t>
  </si>
  <si>
    <t xml:space="preserve">Ймовірність ↓ / Вплив →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</si>
  <si>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</si>
  <si>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</si>
  <si>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</si>
  <si>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</si>
  <si>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</si>
  <si>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Пороги:</t>
  </si>
  <si>
    <t xml:space="preserve">Критичний 15–25</t>
  </si>
  <si>
    <t xml:space="preserve">Високий 10–14</t>
  </si>
  <si>
    <t xml:space="preserve">Середній 5–9</t>
  </si>
  <si>
    <t xml:space="preserve">Низький 1–4</t>
  </si>
  <si>
    <t xml:space="preserve">Категорія / підкатегорія RBS</t>
  </si>
  <si>
    <t xml:space="preserve">Ймовірність (1–5)</t>
  </si>
  <si>
    <t xml:space="preserve">Вплив (1–5)</t>
  </si>
  <si>
    <t xml:space="preserve">Стратегія реагування</t>
  </si>
  <si>
    <t xml:space="preserve">Власник ризику</t>
  </si>
  <si>
    <t xml:space="preserve">R1 · Технічні та методика випробувань</t>
  </si>
  <si>
    <t xml:space="preserve">1 · Дуже низька</t>
  </si>
  <si>
    <t xml:space="preserve">1 · Незначний</t>
  </si>
  <si>
    <t xml:space="preserve">Уникнути</t>
  </si>
  <si>
    <t xml:space="preserve">Керівник проєкту (О. Хома)</t>
  </si>
  <si>
    <t xml:space="preserve">R1.1 · Методика pull-out / стиск</t>
  </si>
  <si>
    <t xml:space="preserve">2 · Низька</t>
  </si>
  <si>
    <t xml:space="preserve">2 · Низький</t>
  </si>
  <si>
    <t xml:space="preserve">Моніторинг</t>
  </si>
  <si>
    <t xml:space="preserve">Можливість</t>
  </si>
  <si>
    <t xml:space="preserve">R1.2 · Реакційна система та анкери</t>
  </si>
  <si>
    <t xml:space="preserve">3 · Середня</t>
  </si>
  <si>
    <t xml:space="preserve">3 · Помірний</t>
  </si>
  <si>
    <t xml:space="preserve">Передати</t>
  </si>
  <si>
    <t xml:space="preserve">У реагуванні</t>
  </si>
  <si>
    <t xml:space="preserve">Геотехнічний експерт</t>
  </si>
  <si>
    <t xml:space="preserve">R1.3 · Похибка вимірювань / повірка</t>
  </si>
  <si>
    <t xml:space="preserve">4 · Висока</t>
  </si>
  <si>
    <t xml:space="preserve">4 · Суттєвий</t>
  </si>
  <si>
    <t xml:space="preserve">Прийняти</t>
  </si>
  <si>
    <t xml:space="preserve">Реалізувався</t>
  </si>
  <si>
    <t xml:space="preserve">HSE-інженер</t>
  </si>
  <si>
    <t xml:space="preserve">R1.4 · Інтерпретація / критерії приймання</t>
  </si>
  <si>
    <t xml:space="preserve">5 · Дуже висока</t>
  </si>
  <si>
    <t xml:space="preserve">5 · Критичний</t>
  </si>
  <si>
    <t xml:space="preserve">Ескалувати</t>
  </si>
  <si>
    <t xml:space="preserve">Закритий</t>
  </si>
  <si>
    <t xml:space="preserve">Підрядник обладнання</t>
  </si>
  <si>
    <t xml:space="preserve">R2 · Ґрунтові та геотехнічні умови</t>
  </si>
  <si>
    <t xml:space="preserve">Використати</t>
  </si>
  <si>
    <t xml:space="preserve">Не актуальний</t>
  </si>
  <si>
    <t xml:space="preserve">Замовник Greensource / EPC</t>
  </si>
  <si>
    <t xml:space="preserve">R2.1 · Неоднорідність ґрунтів по полю</t>
  </si>
  <si>
    <t xml:space="preserve">Підсилити</t>
  </si>
  <si>
    <t xml:space="preserve">ПОТРІБНО УТОЧНИТИ</t>
  </si>
  <si>
    <t xml:space="preserve">R2.2 · Тверді включення / камені</t>
  </si>
  <si>
    <t xml:space="preserve">Розділити</t>
  </si>
  <si>
    <t xml:space="preserve">R2.3 · Ґрунтові води / обводнення</t>
  </si>
  <si>
    <t xml:space="preserve">R2.4 · Відхилення факту від проєкту</t>
  </si>
  <si>
    <t xml:space="preserve">R3 · Обладнання та інструмент</t>
  </si>
  <si>
    <t xml:space="preserve">R3.1 · Поломка ГАЙКа / предрил-установки</t>
  </si>
  <si>
    <t xml:space="preserve">R3.2 · Затримка/недоступність оренди</t>
  </si>
  <si>
    <t xml:space="preserve">R3.3 · Поломка квадроцикла / генератора</t>
  </si>
  <si>
    <t xml:space="preserve">R3.4 · Знос/пошкодження тест-комплекту</t>
  </si>
  <si>
    <t xml:space="preserve">R3.5 · Дефіцит витратників / ПММ</t>
  </si>
  <si>
    <t xml:space="preserve">R4 · Погодні та польові умови</t>
  </si>
  <si>
    <t xml:space="preserve">R4.1 · Жара</t>
  </si>
  <si>
    <t xml:space="preserve">R4.3 · Вітер і пил</t>
  </si>
  <si>
    <t xml:space="preserve">R4.4 · Доступ до поля</t>
  </si>
  <si>
    <t xml:space="preserve">R5 · Персонал, безпека та HSE</t>
  </si>
  <si>
    <t xml:space="preserve">R5.1 · Залежність від одного експерта</t>
  </si>
  <si>
    <t xml:space="preserve">R5.2 · Травматизм / нещасний випадок</t>
  </si>
  <si>
    <t xml:space="preserve">R5.3 · Недобір/некомпетентність бригад</t>
  </si>
  <si>
    <t xml:space="preserve">R5.4 · Хвороба / вибуття ключових людей</t>
  </si>
  <si>
    <t xml:space="preserve">R5.5 · Порушення ТБ / вимог замовника з ОП</t>
  </si>
  <si>
    <t xml:space="preserve">R6 · Логістика та відрядження</t>
  </si>
  <si>
    <t xml:space="preserve">R6.1 · Мобілізація/демобілізація обладнання</t>
  </si>
  <si>
    <t xml:space="preserve">R6.2 · Проживання та відрядження</t>
  </si>
  <si>
    <t xml:space="preserve">R6.3 · Віддаленість майданчика / зв'язок</t>
  </si>
  <si>
    <t xml:space="preserve">R6.4 · Переміщення / митниця</t>
  </si>
  <si>
    <t xml:space="preserve">R7 · Графік, ресурси та бюджет</t>
  </si>
  <si>
    <t xml:space="preserve">R7.1 · Недооцінка тривалості (5→50)</t>
  </si>
  <si>
    <t xml:space="preserve">R7.2 · Продуктивність нижча за Фазу 1</t>
  </si>
  <si>
    <t xml:space="preserve">R7.3 · Брак бригад / комплектів обладнання</t>
  </si>
  <si>
    <t xml:space="preserve">R7.4 · Накопичення простоїв</t>
  </si>
  <si>
    <t xml:space="preserve">R7.5 · Перевитрата бюджету / курс €</t>
  </si>
  <si>
    <t xml:space="preserve">R8 · Зовнішні, контрактні та звітність</t>
  </si>
  <si>
    <t xml:space="preserve">R8.1 · Доступ і дозволи на майданчик</t>
  </si>
  <si>
    <t xml:space="preserve">R8.2 · Зміна обсягу замовником</t>
  </si>
  <si>
    <t xml:space="preserve">R8.3 · Взаємодія з генпідрядником/іншими</t>
  </si>
  <si>
    <t xml:space="preserve">R8.4 · Втрата/неповнота даних вимірювань</t>
  </si>
  <si>
    <t xml:space="preserve">R8.5 · Затримка / невідповідність звіту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</si>
</sst>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;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8A94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332"/>
      <name val="Arial"/>
      <family val="0"/>
      <charset val="1"/>
    </font>
    <font>
      <sz val="10"/>
      <color rgb="FF8A94A6"/>
      <name val="Arial"/>
      <family val="0"/>
      <charset val="1"/>
    </font>
    <font>
      <sz val="10"/>
      <color rgb="FF1A2332"/>
      <name val="Arial"/>
      <family val="0"/>
      <charset val="1"/>
    </font>
    <font>
      <sz val="9"/>
      <color rgb="FF8A94A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6233A"/>
      <name val="Arial"/>
      <family val="0"/>
      <charset val="1"/>
    </font>
    <font>
      <sz val="10"/>
      <name val="Arial"/>
      <family val="2"/>
    </font>
    <font>
      <b val="true"/>
      <sz val="11"/>
      <color rgb="FF1A23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33A"/>
      <name val="Arial"/>
      <family val="0"/>
      <charset val="1"/>
    </font>
    <font>
      <b val="true"/>
      <sz val="9"/>
      <color rgb="FF1A2332"/>
      <name val="Arial"/>
      <family val="0"/>
      <charset val="1"/>
    </font>
    <font>
      <sz val="9"/>
      <color rgb="FF1A233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6233A"/>
        <bgColor rgb="FF1A2332"/>
      </patternFill>
    </fill>
    <fill>
      <patternFill patternType="solid">
        <fgColor rgb="FFE2683C"/>
        <bgColor rgb="FFE8873C"/>
      </patternFill>
    </fill>
    <fill>
      <patternFill patternType="solid">
        <fgColor rgb="FFF4F6F9"/>
        <bgColor rgb="FFFFFFFF"/>
      </patternFill>
    </fill>
    <fill>
      <patternFill patternType="solid">
        <fgColor rgb="FFFFF3CD"/>
        <bgColor rgb="FFF4F6F9"/>
      </patternFill>
    </fill>
    <fill>
      <patternFill patternType="solid">
        <fgColor rgb="FFF2C744"/>
        <bgColor rgb="FFFFCC99"/>
      </patternFill>
    </fill>
    <fill>
      <patternFill patternType="solid">
        <fgColor rgb="FFE8873C"/>
        <bgColor rgb="FFE2683C"/>
      </patternFill>
    </fill>
    <fill>
      <patternFill patternType="solid">
        <fgColor rgb="FFD93025"/>
        <bgColor rgb="FF993366"/>
      </patternFill>
    </fill>
    <fill>
      <patternFill patternType="solid">
        <fgColor rgb="FF3E9C6B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D93025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8873C"/>
        </patternFill>
      </fill>
    </dxf>
    <dxf>
      <font>
        <name val="Arial"/>
        <charset val="1"/>
        <family val="0"/>
        <b val="1"/>
        <color rgb="FF1A2332"/>
      </font>
      <fill>
        <patternFill>
          <bgColor rgb="FFF2C74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3E9C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4F6F9"/>
      <rgbColor rgb="FF660066"/>
      <rgbColor rgb="FFE8873C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2C744"/>
      <rgbColor rgb="FFFF9900"/>
      <rgbColor rgb="FFE2683C"/>
      <rgbColor rgb="FF666699"/>
      <rgbColor rgb="FF8A94A6"/>
      <rgbColor rgb="FF16233A"/>
      <rgbColor rgb="FF3E9C6B"/>
      <rgbColor rgb="FF003300"/>
      <rgbColor rgb="FF333300"/>
      <rgbColor rgb="FFD93025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52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21.75" hidden="false" customHeight="true" outlineLevel="0" collapsed="false">
      <c r="A4" s="4" t="s">
        <v>6</v>
      </c>
      <c r="B4" s="5" t="s">
        <v>7</v>
      </c>
      <c r="C4" s="6" t="s">
        <v>8</v>
      </c>
      <c r="D4" s="7"/>
    </row>
    <row r="5" customFormat="false" ht="25.5" hidden="false" customHeight="true" outlineLevel="0" collapsed="false">
      <c r="A5" s="8" t="s">
        <v>9</v>
      </c>
      <c r="B5" s="9" t="s">
        <v>10</v>
      </c>
      <c r="C5" s="10" t="s">
        <v>11</v>
      </c>
      <c r="D5" s="11" t="s">
        <v>12</v>
      </c>
    </row>
    <row r="6" customFormat="false" ht="25.5" hidden="false" customHeight="true" outlineLevel="0" collapsed="false">
      <c r="A6" s="8" t="s">
        <v>13</v>
      </c>
      <c r="B6" s="9" t="s">
        <v>14</v>
      </c>
      <c r="C6" s="10" t="s">
        <v>15</v>
      </c>
      <c r="D6" s="11" t="s">
        <v>16</v>
      </c>
    </row>
    <row r="7" customFormat="false" ht="25.5" hidden="false" customHeight="true" outlineLevel="0" collapsed="false">
      <c r="A7" s="8" t="s">
        <v>17</v>
      </c>
      <c r="B7" s="9" t="s">
        <v>18</v>
      </c>
      <c r="C7" s="10" t="s">
        <v>19</v>
      </c>
      <c r="D7" s="11" t="s">
        <v>20</v>
      </c>
    </row>
    <row r="8" customFormat="false" ht="25.5" hidden="false" customHeight="true" outlineLevel="0" collapsed="false">
      <c r="A8" s="8" t="s">
        <v>21</v>
      </c>
      <c r="B8" s="9" t="s">
        <v>22</v>
      </c>
      <c r="C8" s="10" t="s">
        <v>23</v>
      </c>
      <c r="D8" s="11" t="s">
        <v>24</v>
      </c>
    </row>
    <row r="9" customFormat="false" ht="21.75" hidden="false" customHeight="true" outlineLevel="0" collapsed="false">
      <c r="A9" s="4" t="s">
        <v>25</v>
      </c>
      <c r="B9" s="5" t="s">
        <v>26</v>
      </c>
      <c r="C9" s="6" t="s">
        <v>27</v>
      </c>
      <c r="D9" s="7"/>
    </row>
    <row r="10" customFormat="false" ht="25.5" hidden="false" customHeight="true" outlineLevel="0" collapsed="false">
      <c r="A10" s="8" t="s">
        <v>28</v>
      </c>
      <c r="B10" s="9" t="s">
        <v>29</v>
      </c>
      <c r="C10" s="10" t="s">
        <v>30</v>
      </c>
      <c r="D10" s="11" t="s">
        <v>31</v>
      </c>
    </row>
    <row r="11" customFormat="false" ht="25.5" hidden="false" customHeight="true" outlineLevel="0" collapsed="false">
      <c r="A11" s="8" t="s">
        <v>32</v>
      </c>
      <c r="B11" s="9" t="s">
        <v>33</v>
      </c>
      <c r="C11" s="10" t="s">
        <v>34</v>
      </c>
      <c r="D11" s="11" t="s">
        <v>35</v>
      </c>
    </row>
    <row r="12" customFormat="false" ht="25.5" hidden="false" customHeight="true" outlineLevel="0" collapsed="false">
      <c r="A12" s="8" t="s">
        <v>36</v>
      </c>
      <c r="B12" s="9" t="s">
        <v>37</v>
      </c>
      <c r="C12" s="10" t="s">
        <v>38</v>
      </c>
      <c r="D12" s="11" t="s">
        <v>39</v>
      </c>
    </row>
    <row r="13" customFormat="false" ht="25.5" hidden="false" customHeight="true" outlineLevel="0" collapsed="false">
      <c r="A13" s="8" t="s">
        <v>40</v>
      </c>
      <c r="B13" s="9" t="s">
        <v>41</v>
      </c>
      <c r="C13" s="10" t="s">
        <v>42</v>
      </c>
      <c r="D13" s="11" t="s">
        <v>43</v>
      </c>
    </row>
    <row r="14" customFormat="false" ht="21.75" hidden="false" customHeight="true" outlineLevel="0" collapsed="false">
      <c r="A14" s="4" t="s">
        <v>44</v>
      </c>
      <c r="B14" s="5" t="s">
        <v>45</v>
      </c>
      <c r="C14" s="6" t="s">
        <v>46</v>
      </c>
      <c r="D14" s="7"/>
    </row>
    <row r="15" customFormat="false" ht="25.5" hidden="false" customHeight="true" outlineLevel="0" collapsed="false">
      <c r="A15" s="8" t="s">
        <v>47</v>
      </c>
      <c r="B15" s="9" t="s">
        <v>48</v>
      </c>
      <c r="C15" s="10" t="s">
        <v>49</v>
      </c>
      <c r="D15" s="11" t="s">
        <v>50</v>
      </c>
    </row>
    <row r="16" customFormat="false" ht="25.5" hidden="false" customHeight="true" outlineLevel="0" collapsed="false">
      <c r="A16" s="8" t="s">
        <v>51</v>
      </c>
      <c r="B16" s="9" t="s">
        <v>52</v>
      </c>
      <c r="C16" s="10" t="s">
        <v>53</v>
      </c>
      <c r="D16" s="11" t="s">
        <v>54</v>
      </c>
    </row>
    <row r="17" customFormat="false" ht="25.5" hidden="false" customHeight="true" outlineLevel="0" collapsed="false">
      <c r="A17" s="8" t="s">
        <v>55</v>
      </c>
      <c r="B17" s="9" t="s">
        <v>56</v>
      </c>
      <c r="C17" s="10" t="s">
        <v>57</v>
      </c>
      <c r="D17" s="11" t="s">
        <v>58</v>
      </c>
    </row>
    <row r="18" customFormat="false" ht="25.5" hidden="false" customHeight="true" outlineLevel="0" collapsed="false">
      <c r="A18" s="8" t="s">
        <v>59</v>
      </c>
      <c r="B18" s="9" t="s">
        <v>60</v>
      </c>
      <c r="C18" s="10" t="s">
        <v>61</v>
      </c>
      <c r="D18" s="11" t="s">
        <v>62</v>
      </c>
    </row>
    <row r="19" customFormat="false" ht="25.5" hidden="false" customHeight="true" outlineLevel="0" collapsed="false">
      <c r="A19" s="8" t="s">
        <v>63</v>
      </c>
      <c r="B19" s="9" t="s">
        <v>64</v>
      </c>
      <c r="C19" s="10" t="s">
        <v>65</v>
      </c>
      <c r="D19" s="11" t="s">
        <v>66</v>
      </c>
    </row>
    <row r="20" customFormat="false" ht="21.75" hidden="false" customHeight="true" outlineLevel="0" collapsed="false">
      <c r="A20" s="4" t="s">
        <v>67</v>
      </c>
      <c r="B20" s="5" t="s">
        <v>68</v>
      </c>
      <c r="C20" s="6" t="s">
        <v>69</v>
      </c>
      <c r="D20" s="7"/>
    </row>
    <row r="21" customFormat="false" ht="25.5" hidden="false" customHeight="true" outlineLevel="0" collapsed="false">
      <c r="A21" s="8" t="s">
        <v>70</v>
      </c>
      <c r="B21" s="9" t="s">
        <v>71</v>
      </c>
      <c r="C21" s="10" t="s">
        <v>72</v>
      </c>
      <c r="D21" s="11" t="s">
        <v>73</v>
      </c>
    </row>
    <row r="22" customFormat="false" ht="25.5" hidden="false" customHeight="true" outlineLevel="0" collapsed="false">
      <c r="A22" s="8" t="s">
        <v>74</v>
      </c>
      <c r="B22" s="9" t="s">
        <v>75</v>
      </c>
      <c r="C22" s="10" t="s">
        <v>76</v>
      </c>
      <c r="D22" s="11" t="s">
        <v>77</v>
      </c>
    </row>
    <row r="23" customFormat="false" ht="25.5" hidden="false" customHeight="true" outlineLevel="0" collapsed="false">
      <c r="A23" s="8" t="s">
        <v>78</v>
      </c>
      <c r="B23" s="9" t="s">
        <v>79</v>
      </c>
      <c r="C23" s="10" t="s">
        <v>80</v>
      </c>
      <c r="D23" s="11" t="s">
        <v>81</v>
      </c>
    </row>
    <row r="24" customFormat="false" ht="25.5" hidden="false" customHeight="true" outlineLevel="0" collapsed="false">
      <c r="A24" s="8" t="s">
        <v>82</v>
      </c>
      <c r="B24" s="9" t="s">
        <v>83</v>
      </c>
      <c r="C24" s="10" t="s">
        <v>84</v>
      </c>
      <c r="D24" s="11" t="s">
        <v>85</v>
      </c>
    </row>
    <row r="25" customFormat="false" ht="21.75" hidden="false" customHeight="true" outlineLevel="0" collapsed="false">
      <c r="A25" s="4" t="s">
        <v>86</v>
      </c>
      <c r="B25" s="5" t="s">
        <v>87</v>
      </c>
      <c r="C25" s="6" t="s">
        <v>88</v>
      </c>
      <c r="D25" s="7"/>
    </row>
    <row r="26" customFormat="false" ht="25.5" hidden="false" customHeight="true" outlineLevel="0" collapsed="false">
      <c r="A26" s="8" t="s">
        <v>89</v>
      </c>
      <c r="B26" s="9" t="s">
        <v>90</v>
      </c>
      <c r="C26" s="10" t="s">
        <v>91</v>
      </c>
      <c r="D26" s="11" t="s">
        <v>92</v>
      </c>
    </row>
    <row r="27" customFormat="false" ht="25.5" hidden="false" customHeight="true" outlineLevel="0" collapsed="false">
      <c r="A27" s="8" t="s">
        <v>93</v>
      </c>
      <c r="B27" s="9" t="s">
        <v>94</v>
      </c>
      <c r="C27" s="10" t="s">
        <v>95</v>
      </c>
      <c r="D27" s="11" t="s">
        <v>96</v>
      </c>
    </row>
    <row r="28" customFormat="false" ht="25.5" hidden="false" customHeight="true" outlineLevel="0" collapsed="false">
      <c r="A28" s="8" t="s">
        <v>97</v>
      </c>
      <c r="B28" s="9" t="s">
        <v>98</v>
      </c>
      <c r="C28" s="10" t="s">
        <v>99</v>
      </c>
      <c r="D28" s="11" t="s">
        <v>100</v>
      </c>
    </row>
    <row r="29" customFormat="false" ht="25.5" hidden="false" customHeight="true" outlineLevel="0" collapsed="false">
      <c r="A29" s="8" t="s">
        <v>101</v>
      </c>
      <c r="B29" s="9" t="s">
        <v>102</v>
      </c>
      <c r="C29" s="10" t="s">
        <v>103</v>
      </c>
      <c r="D29" s="11" t="s">
        <v>104</v>
      </c>
    </row>
    <row r="30" customFormat="false" ht="25.5" hidden="false" customHeight="true" outlineLevel="0" collapsed="false">
      <c r="A30" s="8" t="s">
        <v>105</v>
      </c>
      <c r="B30" s="9" t="s">
        <v>106</v>
      </c>
      <c r="C30" s="10" t="s">
        <v>107</v>
      </c>
      <c r="D30" s="11" t="s">
        <v>108</v>
      </c>
    </row>
    <row r="31" customFormat="false" ht="21.75" hidden="false" customHeight="true" outlineLevel="0" collapsed="false">
      <c r="A31" s="4" t="s">
        <v>109</v>
      </c>
      <c r="B31" s="5" t="s">
        <v>110</v>
      </c>
      <c r="C31" s="6" t="s">
        <v>111</v>
      </c>
      <c r="D31" s="7"/>
    </row>
    <row r="32" customFormat="false" ht="25.5" hidden="false" customHeight="true" outlineLevel="0" collapsed="false">
      <c r="A32" s="8" t="s">
        <v>112</v>
      </c>
      <c r="B32" s="9" t="s">
        <v>113</v>
      </c>
      <c r="C32" s="10" t="s">
        <v>114</v>
      </c>
      <c r="D32" s="11" t="s">
        <v>115</v>
      </c>
    </row>
    <row r="33" customFormat="false" ht="25.5" hidden="false" customHeight="true" outlineLevel="0" collapsed="false">
      <c r="A33" s="8" t="s">
        <v>116</v>
      </c>
      <c r="B33" s="9" t="s">
        <v>117</v>
      </c>
      <c r="C33" s="10" t="s">
        <v>118</v>
      </c>
      <c r="D33" s="11" t="s">
        <v>119</v>
      </c>
    </row>
    <row r="34" customFormat="false" ht="25.5" hidden="false" customHeight="true" outlineLevel="0" collapsed="false">
      <c r="A34" s="8" t="s">
        <v>120</v>
      </c>
      <c r="B34" s="9" t="s">
        <v>121</v>
      </c>
      <c r="C34" s="10" t="s">
        <v>122</v>
      </c>
      <c r="D34" s="11" t="s">
        <v>123</v>
      </c>
    </row>
    <row r="35" customFormat="false" ht="25.5" hidden="false" customHeight="true" outlineLevel="0" collapsed="false">
      <c r="A35" s="8" t="s">
        <v>124</v>
      </c>
      <c r="B35" s="9" t="s">
        <v>125</v>
      </c>
      <c r="C35" s="10" t="s">
        <v>126</v>
      </c>
      <c r="D35" s="11" t="s">
        <v>127</v>
      </c>
    </row>
    <row r="36" customFormat="false" ht="21.75" hidden="false" customHeight="true" outlineLevel="0" collapsed="false">
      <c r="A36" s="4" t="s">
        <v>128</v>
      </c>
      <c r="B36" s="5" t="s">
        <v>129</v>
      </c>
      <c r="C36" s="6" t="s">
        <v>130</v>
      </c>
      <c r="D36" s="7"/>
    </row>
    <row r="37" customFormat="false" ht="25.5" hidden="false" customHeight="true" outlineLevel="0" collapsed="false">
      <c r="A37" s="8" t="s">
        <v>131</v>
      </c>
      <c r="B37" s="9" t="s">
        <v>132</v>
      </c>
      <c r="C37" s="10" t="s">
        <v>133</v>
      </c>
      <c r="D37" s="11" t="s">
        <v>134</v>
      </c>
    </row>
    <row r="38" customFormat="false" ht="25.5" hidden="false" customHeight="true" outlineLevel="0" collapsed="false">
      <c r="A38" s="8" t="s">
        <v>135</v>
      </c>
      <c r="B38" s="9" t="s">
        <v>136</v>
      </c>
      <c r="C38" s="10" t="s">
        <v>137</v>
      </c>
      <c r="D38" s="11" t="s">
        <v>138</v>
      </c>
    </row>
    <row r="39" customFormat="false" ht="25.5" hidden="false" customHeight="true" outlineLevel="0" collapsed="false">
      <c r="A39" s="8" t="s">
        <v>139</v>
      </c>
      <c r="B39" s="9" t="s">
        <v>140</v>
      </c>
      <c r="C39" s="10" t="s">
        <v>141</v>
      </c>
      <c r="D39" s="11" t="s">
        <v>142</v>
      </c>
    </row>
    <row r="40" customFormat="false" ht="25.5" hidden="false" customHeight="true" outlineLevel="0" collapsed="false">
      <c r="A40" s="8" t="s">
        <v>143</v>
      </c>
      <c r="B40" s="9" t="s">
        <v>144</v>
      </c>
      <c r="C40" s="10" t="s">
        <v>145</v>
      </c>
      <c r="D40" s="11" t="s">
        <v>146</v>
      </c>
    </row>
    <row r="41" customFormat="false" ht="25.5" hidden="false" customHeight="true" outlineLevel="0" collapsed="false">
      <c r="A41" s="8" t="s">
        <v>147</v>
      </c>
      <c r="B41" s="9" t="s">
        <v>148</v>
      </c>
      <c r="C41" s="10" t="s">
        <v>149</v>
      </c>
      <c r="D41" s="11" t="s">
        <v>150</v>
      </c>
    </row>
    <row r="42" customFormat="false" ht="21.75" hidden="false" customHeight="true" outlineLevel="0" collapsed="false">
      <c r="A42" s="4" t="s">
        <v>151</v>
      </c>
      <c r="B42" s="5" t="s">
        <v>152</v>
      </c>
      <c r="C42" s="6" t="s">
        <v>153</v>
      </c>
      <c r="D42" s="7"/>
    </row>
    <row r="43" customFormat="false" ht="25.5" hidden="false" customHeight="true" outlineLevel="0" collapsed="false">
      <c r="A43" s="8" t="s">
        <v>154</v>
      </c>
      <c r="B43" s="9" t="s">
        <v>155</v>
      </c>
      <c r="C43" s="10" t="s">
        <v>156</v>
      </c>
      <c r="D43" s="11" t="s">
        <v>157</v>
      </c>
    </row>
    <row r="44" customFormat="false" ht="25.5" hidden="false" customHeight="true" outlineLevel="0" collapsed="false">
      <c r="A44" s="8" t="s">
        <v>158</v>
      </c>
      <c r="B44" s="9" t="s">
        <v>159</v>
      </c>
      <c r="C44" s="10" t="s">
        <v>160</v>
      </c>
      <c r="D44" s="11" t="s">
        <v>161</v>
      </c>
    </row>
    <row r="45" customFormat="false" ht="25.5" hidden="false" customHeight="true" outlineLevel="0" collapsed="false">
      <c r="A45" s="8" t="s">
        <v>162</v>
      </c>
      <c r="B45" s="9" t="s">
        <v>163</v>
      </c>
      <c r="C45" s="10" t="s">
        <v>164</v>
      </c>
      <c r="D45" s="11" t="s">
        <v>165</v>
      </c>
    </row>
    <row r="46" customFormat="false" ht="25.5" hidden="false" customHeight="true" outlineLevel="0" collapsed="false">
      <c r="A46" s="8" t="s">
        <v>166</v>
      </c>
      <c r="B46" s="9" t="s">
        <v>167</v>
      </c>
      <c r="C46" s="10" t="s">
        <v>168</v>
      </c>
      <c r="D46" s="11" t="s">
        <v>169</v>
      </c>
    </row>
    <row r="47" customFormat="false" ht="25.5" hidden="false" customHeight="true" outlineLevel="0" collapsed="false">
      <c r="A47" s="8" t="s">
        <v>170</v>
      </c>
      <c r="B47" s="9" t="s">
        <v>171</v>
      </c>
      <c r="C47" s="10" t="s">
        <v>172</v>
      </c>
      <c r="D47" s="11" t="s">
        <v>173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7" min="6" style="0" width="9"/>
    <col collapsed="false" customWidth="true" hidden="false" outlineLevel="0" max="8" min="8" style="0" width="7"/>
    <col collapsed="false" customWidth="true" hidden="false" outlineLevel="0" max="10" min="9" style="0" width="13"/>
    <col collapsed="false" customWidth="true" hidden="false" outlineLevel="0" max="11" min="11" style="0" width="32"/>
    <col collapsed="false" customWidth="true" hidden="false" outlineLevel="0" max="13" min="12" style="0" width="24"/>
    <col collapsed="false" customWidth="true" hidden="false" outlineLevel="0" max="16" min="14" style="0" width="12"/>
    <col collapsed="false" customWidth="true" hidden="false" outlineLevel="0" max="17" min="17" style="0" width="16"/>
    <col collapsed="false" customWidth="true" hidden="false" outlineLevel="0" max="18" min="18" style="0" width="22"/>
  </cols>
  <sheetData>
    <row r="1" customFormat="false" ht="27.75" hidden="false" customHeight="true" outlineLevel="0" collapsed="false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9.75" hidden="false" customHeight="true" outlineLevel="0" collapsed="false">
      <c r="A2" s="12" t="s">
        <v>175</v>
      </c>
      <c r="B2" s="12" t="s">
        <v>176</v>
      </c>
      <c r="C2" s="12" t="s">
        <v>177</v>
      </c>
      <c r="D2" s="12" t="s">
        <v>178</v>
      </c>
      <c r="E2" s="12" t="s">
        <v>179</v>
      </c>
      <c r="F2" s="12" t="s">
        <v>180</v>
      </c>
      <c r="G2" s="12" t="s">
        <v>181</v>
      </c>
      <c r="H2" s="12" t="s">
        <v>182</v>
      </c>
      <c r="I2" s="12" t="s">
        <v>183</v>
      </c>
      <c r="J2" s="12" t="s">
        <v>184</v>
      </c>
      <c r="K2" s="12" t="s">
        <v>185</v>
      </c>
      <c r="L2" s="12" t="s">
        <v>186</v>
      </c>
      <c r="M2" s="12" t="s">
        <v>187</v>
      </c>
      <c r="N2" s="12" t="s">
        <v>188</v>
      </c>
      <c r="O2" s="12" t="s">
        <v>189</v>
      </c>
      <c r="P2" s="12" t="s">
        <v>190</v>
      </c>
      <c r="Q2" s="12" t="s">
        <v>191</v>
      </c>
      <c r="R2" s="12" t="s">
        <v>192</v>
      </c>
    </row>
    <row r="3" customFormat="false" ht="39.75" hidden="false" customHeight="true" outlineLevel="0" collapsed="false">
      <c r="A3" s="13" t="n">
        <v>1</v>
      </c>
      <c r="B3" s="14" t="s">
        <v>193</v>
      </c>
      <c r="C3" s="14" t="s">
        <v>194</v>
      </c>
      <c r="D3" s="14" t="s">
        <v>195</v>
      </c>
      <c r="E3" s="14" t="s">
        <v>196</v>
      </c>
      <c r="F3" s="14" t="n">
        <v>3</v>
      </c>
      <c r="G3" s="14" t="n">
        <v>3</v>
      </c>
      <c r="H3" s="15" t="n">
        <f aca="false">IF(OR(N(F3)=0,N(G3)=0),"",LEFT(F3,1)*LEFT(G3,1))</f>
        <v>9</v>
      </c>
      <c r="I3" s="15" t="str">
        <f aca="false">IF(H3="","",IF(H3&gt;=15,"Критичний",IF(H3&gt;=10,"Високий",IF(H3&gt;=5,"Середній","Низький"))))</f>
        <v>Середній</v>
      </c>
      <c r="J3" s="14" t="s">
        <v>197</v>
      </c>
      <c r="K3" s="14" t="s">
        <v>198</v>
      </c>
      <c r="L3" s="14" t="s">
        <v>199</v>
      </c>
      <c r="M3" s="14" t="s">
        <v>200</v>
      </c>
      <c r="N3" s="14" t="s">
        <v>201</v>
      </c>
      <c r="O3" s="16"/>
      <c r="P3" s="14"/>
      <c r="Q3" s="14" t="s">
        <v>202</v>
      </c>
      <c r="R3" s="14" t="s">
        <v>203</v>
      </c>
    </row>
    <row r="4" customFormat="false" ht="30" hidden="false" customHeight="true" outlineLevel="0" collapsed="false">
      <c r="A4" s="13"/>
      <c r="B4" s="14"/>
      <c r="C4" s="14"/>
      <c r="D4" s="14"/>
      <c r="E4" s="14"/>
      <c r="F4" s="14"/>
      <c r="G4" s="14"/>
      <c r="H4" s="15" t="str">
        <f aca="false">IF(OR(N(F4)=0,N(G4)=0),"",LEFT(F4,1)*LEFT(G4,1))</f>
        <v/>
      </c>
      <c r="I4" s="15" t="str">
        <f aca="false">IF(H4="","",IF(H4&gt;=15,"Критичний",IF(H4&gt;=10,"Високий",IF(H4&gt;=5,"Середній","Низький"))))</f>
        <v/>
      </c>
      <c r="J4" s="14"/>
      <c r="K4" s="14"/>
      <c r="L4" s="14"/>
      <c r="M4" s="14"/>
      <c r="N4" s="14"/>
      <c r="O4" s="16"/>
      <c r="P4" s="14"/>
      <c r="Q4" s="14"/>
      <c r="R4" s="14"/>
    </row>
    <row r="5" customFormat="false" ht="30" hidden="false" customHeight="true" outlineLevel="0" collapsed="false">
      <c r="A5" s="13"/>
      <c r="B5" s="14"/>
      <c r="C5" s="14"/>
      <c r="D5" s="14"/>
      <c r="E5" s="14"/>
      <c r="F5" s="14"/>
      <c r="G5" s="14"/>
      <c r="H5" s="15" t="str">
        <f aca="false">IF(OR(N(F5)=0,N(G5)=0),"",LEFT(F5,1)*LEFT(G5,1))</f>
        <v/>
      </c>
      <c r="I5" s="15" t="str">
        <f aca="false">IF(H5="","",IF(H5&gt;=15,"Критичний",IF(H5&gt;=10,"Високий",IF(H5&gt;=5,"Середній","Низький"))))</f>
        <v/>
      </c>
      <c r="J5" s="14"/>
      <c r="K5" s="14"/>
      <c r="L5" s="14"/>
      <c r="M5" s="14"/>
      <c r="N5" s="14"/>
      <c r="O5" s="16"/>
      <c r="P5" s="14"/>
      <c r="Q5" s="14"/>
      <c r="R5" s="14"/>
    </row>
    <row r="6" customFormat="false" ht="30" hidden="false" customHeight="true" outlineLevel="0" collapsed="false">
      <c r="A6" s="13"/>
      <c r="B6" s="14"/>
      <c r="C6" s="14"/>
      <c r="D6" s="14"/>
      <c r="E6" s="14"/>
      <c r="F6" s="14"/>
      <c r="G6" s="14"/>
      <c r="H6" s="15" t="str">
        <f aca="false">IF(OR(N(F6)=0,N(G6)=0),"",LEFT(F6,1)*LEFT(G6,1))</f>
        <v/>
      </c>
      <c r="I6" s="15" t="str">
        <f aca="false">IF(H6="","",IF(H6&gt;=15,"Критичний",IF(H6&gt;=10,"Високий",IF(H6&gt;=5,"Середній","Низький"))))</f>
        <v/>
      </c>
      <c r="J6" s="14"/>
      <c r="K6" s="14"/>
      <c r="L6" s="14"/>
      <c r="M6" s="14"/>
      <c r="N6" s="14"/>
      <c r="O6" s="16"/>
      <c r="P6" s="14"/>
      <c r="Q6" s="14"/>
      <c r="R6" s="14"/>
    </row>
    <row r="7" customFormat="false" ht="30" hidden="false" customHeight="true" outlineLevel="0" collapsed="false">
      <c r="A7" s="13"/>
      <c r="B7" s="14"/>
      <c r="C7" s="14"/>
      <c r="D7" s="14"/>
      <c r="E7" s="14"/>
      <c r="F7" s="14"/>
      <c r="G7" s="14"/>
      <c r="H7" s="15" t="str">
        <f aca="false">IF(OR(N(F7)=0,N(G7)=0),"",LEFT(F7,1)*LEFT(G7,1))</f>
        <v/>
      </c>
      <c r="I7" s="15" t="str">
        <f aca="false">IF(H7="","",IF(H7&gt;=15,"Критичний",IF(H7&gt;=10,"Високий",IF(H7&gt;=5,"Середній","Низький"))))</f>
        <v/>
      </c>
      <c r="J7" s="14"/>
      <c r="K7" s="14"/>
      <c r="L7" s="14"/>
      <c r="M7" s="14"/>
      <c r="N7" s="14"/>
      <c r="O7" s="16"/>
      <c r="P7" s="14"/>
      <c r="Q7" s="14"/>
      <c r="R7" s="14"/>
    </row>
    <row r="8" customFormat="false" ht="30" hidden="false" customHeight="true" outlineLevel="0" collapsed="false">
      <c r="A8" s="13"/>
      <c r="B8" s="14"/>
      <c r="C8" s="14"/>
      <c r="D8" s="14"/>
      <c r="E8" s="14"/>
      <c r="F8" s="14"/>
      <c r="G8" s="14"/>
      <c r="H8" s="15" t="str">
        <f aca="false">IF(OR(N(F8)=0,N(G8)=0),"",LEFT(F8,1)*LEFT(G8,1))</f>
        <v/>
      </c>
      <c r="I8" s="15" t="str">
        <f aca="false">IF(H8="","",IF(H8&gt;=15,"Критичний",IF(H8&gt;=10,"Високий",IF(H8&gt;=5,"Середній","Низький"))))</f>
        <v/>
      </c>
      <c r="J8" s="14"/>
      <c r="K8" s="14"/>
      <c r="L8" s="14"/>
      <c r="M8" s="14"/>
      <c r="N8" s="14"/>
      <c r="O8" s="16"/>
      <c r="P8" s="14"/>
      <c r="Q8" s="14"/>
      <c r="R8" s="14"/>
    </row>
    <row r="9" customFormat="false" ht="30" hidden="false" customHeight="true" outlineLevel="0" collapsed="false">
      <c r="A9" s="13"/>
      <c r="B9" s="14"/>
      <c r="C9" s="14"/>
      <c r="D9" s="14"/>
      <c r="E9" s="14"/>
      <c r="F9" s="14"/>
      <c r="G9" s="14"/>
      <c r="H9" s="15" t="str">
        <f aca="false">IF(OR(N(F9)=0,N(G9)=0),"",LEFT(F9,1)*LEFT(G9,1))</f>
        <v/>
      </c>
      <c r="I9" s="15" t="str">
        <f aca="false">IF(H9="","",IF(H9&gt;=15,"Критичний",IF(H9&gt;=10,"Високий",IF(H9&gt;=5,"Середній","Низький"))))</f>
        <v/>
      </c>
      <c r="J9" s="14"/>
      <c r="K9" s="14"/>
      <c r="L9" s="14"/>
      <c r="M9" s="14"/>
      <c r="N9" s="14"/>
      <c r="O9" s="16"/>
      <c r="P9" s="14"/>
      <c r="Q9" s="14"/>
      <c r="R9" s="14"/>
    </row>
    <row r="10" customFormat="false" ht="30" hidden="false" customHeight="true" outlineLevel="0" collapsed="false">
      <c r="A10" s="13"/>
      <c r="B10" s="14"/>
      <c r="C10" s="14"/>
      <c r="D10" s="14"/>
      <c r="E10" s="14"/>
      <c r="F10" s="14"/>
      <c r="G10" s="14"/>
      <c r="H10" s="15" t="str">
        <f aca="false">IF(OR(N(F10)=0,N(G10)=0),"",LEFT(F10,1)*LEFT(G10,1))</f>
        <v/>
      </c>
      <c r="I10" s="15" t="str">
        <f aca="false">IF(H10="","",IF(H10&gt;=15,"Критичний",IF(H10&gt;=10,"Високий",IF(H10&gt;=5,"Середній","Низький"))))</f>
        <v/>
      </c>
      <c r="J10" s="14"/>
      <c r="K10" s="14"/>
      <c r="L10" s="14"/>
      <c r="M10" s="14"/>
      <c r="N10" s="14"/>
      <c r="O10" s="16"/>
      <c r="P10" s="14"/>
      <c r="Q10" s="14"/>
      <c r="R10" s="14"/>
    </row>
    <row r="11" customFormat="false" ht="30" hidden="false" customHeight="true" outlineLevel="0" collapsed="false">
      <c r="A11" s="13"/>
      <c r="B11" s="14"/>
      <c r="C11" s="14"/>
      <c r="D11" s="14"/>
      <c r="E11" s="14"/>
      <c r="F11" s="14"/>
      <c r="G11" s="14"/>
      <c r="H11" s="15" t="str">
        <f aca="false">IF(OR(N(F11)=0,N(G11)=0),"",LEFT(F11,1)*LEFT(G11,1))</f>
        <v/>
      </c>
      <c r="I11" s="15" t="str">
        <f aca="false">IF(H11="","",IF(H11&gt;=15,"Критичний",IF(H11&gt;=10,"Високий",IF(H11&gt;=5,"Середній","Низький"))))</f>
        <v/>
      </c>
      <c r="J11" s="14"/>
      <c r="K11" s="14"/>
      <c r="L11" s="14"/>
      <c r="M11" s="14"/>
      <c r="N11" s="14"/>
      <c r="O11" s="16"/>
      <c r="P11" s="14"/>
      <c r="Q11" s="14"/>
      <c r="R11" s="14"/>
    </row>
    <row r="12" customFormat="false" ht="30" hidden="false" customHeight="true" outlineLevel="0" collapsed="false">
      <c r="A12" s="13"/>
      <c r="B12" s="14"/>
      <c r="C12" s="14"/>
      <c r="D12" s="14"/>
      <c r="E12" s="14"/>
      <c r="F12" s="14"/>
      <c r="G12" s="14"/>
      <c r="H12" s="15" t="str">
        <f aca="false">IF(OR(N(F12)=0,N(G12)=0),"",LEFT(F12,1)*LEFT(G12,1))</f>
        <v/>
      </c>
      <c r="I12" s="15" t="str">
        <f aca="false">IF(H12="","",IF(H12&gt;=15,"Критичний",IF(H12&gt;=10,"Високий",IF(H12&gt;=5,"Середній","Низький"))))</f>
        <v/>
      </c>
      <c r="J12" s="14"/>
      <c r="K12" s="14"/>
      <c r="L12" s="14"/>
      <c r="M12" s="14"/>
      <c r="N12" s="14"/>
      <c r="O12" s="16"/>
      <c r="P12" s="14"/>
      <c r="Q12" s="14"/>
      <c r="R12" s="14"/>
    </row>
    <row r="13" customFormat="false" ht="30" hidden="false" customHeight="true" outlineLevel="0" collapsed="false">
      <c r="A13" s="13"/>
      <c r="B13" s="14"/>
      <c r="C13" s="14"/>
      <c r="D13" s="14"/>
      <c r="E13" s="14"/>
      <c r="F13" s="14"/>
      <c r="G13" s="14"/>
      <c r="H13" s="15" t="str">
        <f aca="false">IF(OR(N(F13)=0,N(G13)=0),"",LEFT(F13,1)*LEFT(G13,1))</f>
        <v/>
      </c>
      <c r="I13" s="15" t="str">
        <f aca="false">IF(H13="","",IF(H13&gt;=15,"Критичний",IF(H13&gt;=10,"Високий",IF(H13&gt;=5,"Середній","Низький"))))</f>
        <v/>
      </c>
      <c r="J13" s="14"/>
      <c r="K13" s="14"/>
      <c r="L13" s="14"/>
      <c r="M13" s="14"/>
      <c r="N13" s="14"/>
      <c r="O13" s="16"/>
      <c r="P13" s="14"/>
      <c r="Q13" s="14"/>
      <c r="R13" s="14"/>
    </row>
    <row r="14" customFormat="false" ht="30" hidden="false" customHeight="true" outlineLevel="0" collapsed="false">
      <c r="A14" s="13"/>
      <c r="B14" s="14"/>
      <c r="C14" s="14"/>
      <c r="D14" s="14"/>
      <c r="E14" s="14"/>
      <c r="F14" s="14"/>
      <c r="G14" s="14"/>
      <c r="H14" s="15" t="str">
        <f aca="false">IF(OR(N(F14)=0,N(G14)=0),"",LEFT(F14,1)*LEFT(G14,1))</f>
        <v/>
      </c>
      <c r="I14" s="15" t="str">
        <f aca="false">IF(H14="","",IF(H14&gt;=15,"Критичний",IF(H14&gt;=10,"Високий",IF(H14&gt;=5,"Середній","Низький"))))</f>
        <v/>
      </c>
      <c r="J14" s="14"/>
      <c r="K14" s="14"/>
      <c r="L14" s="14"/>
      <c r="M14" s="14"/>
      <c r="N14" s="14"/>
      <c r="O14" s="16"/>
      <c r="P14" s="14"/>
      <c r="Q14" s="14"/>
      <c r="R14" s="14"/>
    </row>
    <row r="15" customFormat="false" ht="30" hidden="false" customHeight="true" outlineLevel="0" collapsed="false">
      <c r="A15" s="13"/>
      <c r="B15" s="14"/>
      <c r="C15" s="14"/>
      <c r="D15" s="14"/>
      <c r="E15" s="14"/>
      <c r="F15" s="14"/>
      <c r="G15" s="14"/>
      <c r="H15" s="15" t="str">
        <f aca="false">IF(OR(N(F15)=0,N(G15)=0),"",LEFT(F15,1)*LEFT(G15,1))</f>
        <v/>
      </c>
      <c r="I15" s="15" t="str">
        <f aca="false">IF(H15="","",IF(H15&gt;=15,"Критичний",IF(H15&gt;=10,"Високий",IF(H15&gt;=5,"Середній","Низький"))))</f>
        <v/>
      </c>
      <c r="J15" s="14"/>
      <c r="K15" s="14"/>
      <c r="L15" s="14"/>
      <c r="M15" s="14"/>
      <c r="N15" s="14"/>
      <c r="O15" s="16"/>
      <c r="P15" s="14"/>
      <c r="Q15" s="14"/>
      <c r="R15" s="14"/>
    </row>
    <row r="16" customFormat="false" ht="30" hidden="false" customHeight="true" outlineLevel="0" collapsed="false">
      <c r="A16" s="13"/>
      <c r="B16" s="14"/>
      <c r="C16" s="14"/>
      <c r="D16" s="14"/>
      <c r="E16" s="14"/>
      <c r="F16" s="14"/>
      <c r="G16" s="14"/>
      <c r="H16" s="15" t="str">
        <f aca="false">IF(OR(N(F16)=0,N(G16)=0),"",LEFT(F16,1)*LEFT(G16,1))</f>
        <v/>
      </c>
      <c r="I16" s="15" t="str">
        <f aca="false">IF(H16="","",IF(H16&gt;=15,"Критичний",IF(H16&gt;=10,"Високий",IF(H16&gt;=5,"Середній","Низький"))))</f>
        <v/>
      </c>
      <c r="J16" s="14"/>
      <c r="K16" s="14"/>
      <c r="L16" s="14"/>
      <c r="M16" s="14"/>
      <c r="N16" s="14"/>
      <c r="O16" s="16"/>
      <c r="P16" s="14"/>
      <c r="Q16" s="14"/>
      <c r="R16" s="14"/>
    </row>
    <row r="17" customFormat="false" ht="30" hidden="false" customHeight="true" outlineLevel="0" collapsed="false">
      <c r="A17" s="13"/>
      <c r="B17" s="14"/>
      <c r="C17" s="14"/>
      <c r="D17" s="14"/>
      <c r="E17" s="14"/>
      <c r="F17" s="14"/>
      <c r="G17" s="14"/>
      <c r="H17" s="15" t="str">
        <f aca="false">IF(OR(N(F17)=0,N(G17)=0),"",LEFT(F17,1)*LEFT(G17,1))</f>
        <v/>
      </c>
      <c r="I17" s="15" t="str">
        <f aca="false">IF(H17="","",IF(H17&gt;=15,"Критичний",IF(H17&gt;=10,"Високий",IF(H17&gt;=5,"Середній","Низький"))))</f>
        <v/>
      </c>
      <c r="J17" s="14"/>
      <c r="K17" s="14"/>
      <c r="L17" s="14"/>
      <c r="M17" s="14"/>
      <c r="N17" s="14"/>
      <c r="O17" s="16"/>
      <c r="P17" s="14"/>
      <c r="Q17" s="14"/>
      <c r="R17" s="14"/>
    </row>
    <row r="18" customFormat="false" ht="30" hidden="false" customHeight="true" outlineLevel="0" collapsed="false">
      <c r="A18" s="13"/>
      <c r="B18" s="14"/>
      <c r="C18" s="14"/>
      <c r="D18" s="14"/>
      <c r="E18" s="14"/>
      <c r="F18" s="14"/>
      <c r="G18" s="14"/>
      <c r="H18" s="15" t="str">
        <f aca="false">IF(OR(N(F18)=0,N(G18)=0),"",LEFT(F18,1)*LEFT(G18,1))</f>
        <v/>
      </c>
      <c r="I18" s="15" t="str">
        <f aca="false">IF(H18="","",IF(H18&gt;=15,"Критичний",IF(H18&gt;=10,"Високий",IF(H18&gt;=5,"Середній","Низький"))))</f>
        <v/>
      </c>
      <c r="J18" s="14"/>
      <c r="K18" s="14"/>
      <c r="L18" s="14"/>
      <c r="M18" s="14"/>
      <c r="N18" s="14"/>
      <c r="O18" s="16"/>
      <c r="P18" s="14"/>
      <c r="Q18" s="14"/>
      <c r="R18" s="14"/>
    </row>
    <row r="19" customFormat="false" ht="30" hidden="false" customHeight="true" outlineLevel="0" collapsed="false">
      <c r="A19" s="13"/>
      <c r="B19" s="14"/>
      <c r="C19" s="14"/>
      <c r="D19" s="14"/>
      <c r="E19" s="14"/>
      <c r="F19" s="14"/>
      <c r="G19" s="14"/>
      <c r="H19" s="15" t="str">
        <f aca="false">IF(OR(N(F19)=0,N(G19)=0),"",LEFT(F19,1)*LEFT(G19,1))</f>
        <v/>
      </c>
      <c r="I19" s="15" t="str">
        <f aca="false">IF(H19="","",IF(H19&gt;=15,"Критичний",IF(H19&gt;=10,"Високий",IF(H19&gt;=5,"Середній","Низький"))))</f>
        <v/>
      </c>
      <c r="J19" s="14"/>
      <c r="K19" s="14"/>
      <c r="L19" s="14"/>
      <c r="M19" s="14"/>
      <c r="N19" s="14"/>
      <c r="O19" s="16"/>
      <c r="P19" s="14"/>
      <c r="Q19" s="14"/>
      <c r="R19" s="14"/>
    </row>
    <row r="20" customFormat="false" ht="30" hidden="false" customHeight="true" outlineLevel="0" collapsed="false">
      <c r="A20" s="13"/>
      <c r="B20" s="14"/>
      <c r="C20" s="14"/>
      <c r="D20" s="14"/>
      <c r="E20" s="14"/>
      <c r="F20" s="14"/>
      <c r="G20" s="14"/>
      <c r="H20" s="15" t="str">
        <f aca="false">IF(OR(N(F20)=0,N(G20)=0),"",LEFT(F20,1)*LEFT(G20,1))</f>
        <v/>
      </c>
      <c r="I20" s="15" t="str">
        <f aca="false">IF(H20="","",IF(H20&gt;=15,"Критичний",IF(H20&gt;=10,"Високий",IF(H20&gt;=5,"Середній","Низький"))))</f>
        <v/>
      </c>
      <c r="J20" s="14"/>
      <c r="K20" s="14"/>
      <c r="L20" s="14"/>
      <c r="M20" s="14"/>
      <c r="N20" s="14"/>
      <c r="O20" s="16"/>
      <c r="P20" s="14"/>
      <c r="Q20" s="14"/>
      <c r="R20" s="14"/>
    </row>
    <row r="21" customFormat="false" ht="30" hidden="false" customHeight="true" outlineLevel="0" collapsed="false">
      <c r="A21" s="13"/>
      <c r="B21" s="14"/>
      <c r="C21" s="14"/>
      <c r="D21" s="14"/>
      <c r="E21" s="14"/>
      <c r="F21" s="14"/>
      <c r="G21" s="14"/>
      <c r="H21" s="15" t="str">
        <f aca="false">IF(OR(N(F21)=0,N(G21)=0),"",LEFT(F21,1)*LEFT(G21,1))</f>
        <v/>
      </c>
      <c r="I21" s="15" t="str">
        <f aca="false">IF(H21="","",IF(H21&gt;=15,"Критичний",IF(H21&gt;=10,"Високий",IF(H21&gt;=5,"Середній","Низький"))))</f>
        <v/>
      </c>
      <c r="J21" s="14"/>
      <c r="K21" s="14"/>
      <c r="L21" s="14"/>
      <c r="M21" s="14"/>
      <c r="N21" s="14"/>
      <c r="O21" s="16"/>
      <c r="P21" s="14"/>
      <c r="Q21" s="14"/>
      <c r="R21" s="14"/>
    </row>
    <row r="22" customFormat="false" ht="30" hidden="false" customHeight="true" outlineLevel="0" collapsed="false">
      <c r="A22" s="13"/>
      <c r="B22" s="14"/>
      <c r="C22" s="14"/>
      <c r="D22" s="14"/>
      <c r="E22" s="14"/>
      <c r="F22" s="14"/>
      <c r="G22" s="14"/>
      <c r="H22" s="15" t="str">
        <f aca="false">IF(OR(N(F22)=0,N(G22)=0),"",LEFT(F22,1)*LEFT(G22,1))</f>
        <v/>
      </c>
      <c r="I22" s="15" t="str">
        <f aca="false">IF(H22="","",IF(H22&gt;=15,"Критичний",IF(H22&gt;=10,"Високий",IF(H22&gt;=5,"Середній","Низький"))))</f>
        <v/>
      </c>
      <c r="J22" s="14"/>
      <c r="K22" s="14"/>
      <c r="L22" s="14"/>
      <c r="M22" s="14"/>
      <c r="N22" s="14"/>
      <c r="O22" s="16"/>
      <c r="P22" s="14"/>
      <c r="Q22" s="14"/>
      <c r="R22" s="14"/>
    </row>
    <row r="23" customFormat="false" ht="30" hidden="false" customHeight="true" outlineLevel="0" collapsed="false">
      <c r="A23" s="13"/>
      <c r="B23" s="14"/>
      <c r="C23" s="14"/>
      <c r="D23" s="14"/>
      <c r="E23" s="14"/>
      <c r="F23" s="14"/>
      <c r="G23" s="14"/>
      <c r="H23" s="15" t="str">
        <f aca="false">IF(OR(N(F23)=0,N(G23)=0),"",LEFT(F23,1)*LEFT(G23,1))</f>
        <v/>
      </c>
      <c r="I23" s="15" t="str">
        <f aca="false">IF(H23="","",IF(H23&gt;=15,"Критичний",IF(H23&gt;=10,"Високий",IF(H23&gt;=5,"Середній","Низький"))))</f>
        <v/>
      </c>
      <c r="J23" s="14"/>
      <c r="K23" s="14"/>
      <c r="L23" s="14"/>
      <c r="M23" s="14"/>
      <c r="N23" s="14"/>
      <c r="O23" s="16"/>
      <c r="P23" s="14"/>
      <c r="Q23" s="14"/>
      <c r="R23" s="14"/>
    </row>
    <row r="24" customFormat="false" ht="30" hidden="false" customHeight="true" outlineLevel="0" collapsed="false">
      <c r="A24" s="13"/>
      <c r="B24" s="14"/>
      <c r="C24" s="14"/>
      <c r="D24" s="14"/>
      <c r="E24" s="14"/>
      <c r="F24" s="14"/>
      <c r="G24" s="14"/>
      <c r="H24" s="15" t="str">
        <f aca="false">IF(OR(N(F24)=0,N(G24)=0),"",LEFT(F24,1)*LEFT(G24,1))</f>
        <v/>
      </c>
      <c r="I24" s="15" t="str">
        <f aca="false">IF(H24="","",IF(H24&gt;=15,"Критичний",IF(H24&gt;=10,"Високий",IF(H24&gt;=5,"Середній","Низький"))))</f>
        <v/>
      </c>
      <c r="J24" s="14"/>
      <c r="K24" s="14"/>
      <c r="L24" s="14"/>
      <c r="M24" s="14"/>
      <c r="N24" s="14"/>
      <c r="O24" s="16"/>
      <c r="P24" s="14"/>
      <c r="Q24" s="14"/>
      <c r="R24" s="14"/>
    </row>
    <row r="25" customFormat="false" ht="30" hidden="false" customHeight="true" outlineLevel="0" collapsed="false">
      <c r="A25" s="13"/>
      <c r="B25" s="14"/>
      <c r="C25" s="14"/>
      <c r="D25" s="14"/>
      <c r="E25" s="14"/>
      <c r="F25" s="14"/>
      <c r="G25" s="14"/>
      <c r="H25" s="15" t="str">
        <f aca="false">IF(OR(N(F25)=0,N(G25)=0),"",LEFT(F25,1)*LEFT(G25,1))</f>
        <v/>
      </c>
      <c r="I25" s="15" t="str">
        <f aca="false">IF(H25="","",IF(H25&gt;=15,"Критичний",IF(H25&gt;=10,"Високий",IF(H25&gt;=5,"Середній","Низький"))))</f>
        <v/>
      </c>
      <c r="J25" s="14"/>
      <c r="K25" s="14"/>
      <c r="L25" s="14"/>
      <c r="M25" s="14"/>
      <c r="N25" s="14"/>
      <c r="O25" s="16"/>
      <c r="P25" s="14"/>
      <c r="Q25" s="14"/>
      <c r="R25" s="14"/>
    </row>
    <row r="26" customFormat="false" ht="30" hidden="false" customHeight="true" outlineLevel="0" collapsed="false">
      <c r="A26" s="13"/>
      <c r="B26" s="14"/>
      <c r="C26" s="14"/>
      <c r="D26" s="14"/>
      <c r="E26" s="14"/>
      <c r="F26" s="14"/>
      <c r="G26" s="14"/>
      <c r="H26" s="15" t="str">
        <f aca="false">IF(OR(N(F26)=0,N(G26)=0),"",LEFT(F26,1)*LEFT(G26,1))</f>
        <v/>
      </c>
      <c r="I26" s="15" t="str">
        <f aca="false">IF(H26="","",IF(H26&gt;=15,"Критичний",IF(H26&gt;=10,"Високий",IF(H26&gt;=5,"Середній","Низький"))))</f>
        <v/>
      </c>
      <c r="J26" s="14"/>
      <c r="K26" s="14"/>
      <c r="L26" s="14"/>
      <c r="M26" s="14"/>
      <c r="N26" s="14"/>
      <c r="O26" s="16"/>
      <c r="P26" s="14"/>
      <c r="Q26" s="14"/>
      <c r="R26" s="14"/>
    </row>
    <row r="27" customFormat="false" ht="30" hidden="false" customHeight="true" outlineLevel="0" collapsed="false">
      <c r="A27" s="13"/>
      <c r="B27" s="14"/>
      <c r="C27" s="14"/>
      <c r="D27" s="14"/>
      <c r="E27" s="14"/>
      <c r="F27" s="14"/>
      <c r="G27" s="14"/>
      <c r="H27" s="15" t="str">
        <f aca="false">IF(OR(N(F27)=0,N(G27)=0),"",LEFT(F27,1)*LEFT(G27,1))</f>
        <v/>
      </c>
      <c r="I27" s="15" t="str">
        <f aca="false">IF(H27="","",IF(H27&gt;=15,"Критичний",IF(H27&gt;=10,"Високий",IF(H27&gt;=5,"Середній","Низький"))))</f>
        <v/>
      </c>
      <c r="J27" s="14"/>
      <c r="K27" s="14"/>
      <c r="L27" s="14"/>
      <c r="M27" s="14"/>
      <c r="N27" s="14"/>
      <c r="O27" s="16"/>
      <c r="P27" s="14"/>
      <c r="Q27" s="14"/>
      <c r="R27" s="14"/>
    </row>
    <row r="28" customFormat="false" ht="30" hidden="false" customHeight="true" outlineLevel="0" collapsed="false">
      <c r="A28" s="13"/>
      <c r="B28" s="14"/>
      <c r="C28" s="14"/>
      <c r="D28" s="14"/>
      <c r="E28" s="14"/>
      <c r="F28" s="14"/>
      <c r="G28" s="14"/>
      <c r="H28" s="15" t="str">
        <f aca="false">IF(OR(N(F28)=0,N(G28)=0),"",LEFT(F28,1)*LEFT(G28,1))</f>
        <v/>
      </c>
      <c r="I28" s="15" t="str">
        <f aca="false">IF(H28="","",IF(H28&gt;=15,"Критичний",IF(H28&gt;=10,"Високий",IF(H28&gt;=5,"Середній","Низький"))))</f>
        <v/>
      </c>
      <c r="J28" s="14"/>
      <c r="K28" s="14"/>
      <c r="L28" s="14"/>
      <c r="M28" s="14"/>
      <c r="N28" s="14"/>
      <c r="O28" s="16"/>
      <c r="P28" s="14"/>
      <c r="Q28" s="14"/>
      <c r="R28" s="14"/>
    </row>
    <row r="29" customFormat="false" ht="30" hidden="false" customHeight="true" outlineLevel="0" collapsed="false">
      <c r="A29" s="13"/>
      <c r="B29" s="14"/>
      <c r="C29" s="14"/>
      <c r="D29" s="14"/>
      <c r="E29" s="14"/>
      <c r="F29" s="14"/>
      <c r="G29" s="14"/>
      <c r="H29" s="15" t="str">
        <f aca="false">IF(OR(N(F29)=0,N(G29)=0),"",LEFT(F29,1)*LEFT(G29,1))</f>
        <v/>
      </c>
      <c r="I29" s="15" t="str">
        <f aca="false">IF(H29="","",IF(H29&gt;=15,"Критичний",IF(H29&gt;=10,"Високий",IF(H29&gt;=5,"Середній","Низький"))))</f>
        <v/>
      </c>
      <c r="J29" s="14"/>
      <c r="K29" s="14"/>
      <c r="L29" s="14"/>
      <c r="M29" s="14"/>
      <c r="N29" s="14"/>
      <c r="O29" s="16"/>
      <c r="P29" s="14"/>
      <c r="Q29" s="14"/>
      <c r="R29" s="14"/>
    </row>
    <row r="30" customFormat="false" ht="30" hidden="false" customHeight="true" outlineLevel="0" collapsed="false">
      <c r="A30" s="13"/>
      <c r="B30" s="14"/>
      <c r="C30" s="14"/>
      <c r="D30" s="14"/>
      <c r="E30" s="14"/>
      <c r="F30" s="14"/>
      <c r="G30" s="14"/>
      <c r="H30" s="15" t="str">
        <f aca="false">IF(OR(N(F30)=0,N(G30)=0),"",LEFT(F30,1)*LEFT(G30,1))</f>
        <v/>
      </c>
      <c r="I30" s="15" t="str">
        <f aca="false">IF(H30="","",IF(H30&gt;=15,"Критичний",IF(H30&gt;=10,"Високий",IF(H30&gt;=5,"Середній","Низький"))))</f>
        <v/>
      </c>
      <c r="J30" s="14"/>
      <c r="K30" s="14"/>
      <c r="L30" s="14"/>
      <c r="M30" s="14"/>
      <c r="N30" s="14"/>
      <c r="O30" s="16"/>
      <c r="P30" s="14"/>
      <c r="Q30" s="14"/>
      <c r="R30" s="14"/>
    </row>
    <row r="31" customFormat="false" ht="30" hidden="false" customHeight="true" outlineLevel="0" collapsed="false">
      <c r="A31" s="13"/>
      <c r="B31" s="14"/>
      <c r="C31" s="14"/>
      <c r="D31" s="14"/>
      <c r="E31" s="14"/>
      <c r="F31" s="14"/>
      <c r="G31" s="14"/>
      <c r="H31" s="15" t="str">
        <f aca="false">IF(OR(N(F31)=0,N(G31)=0),"",LEFT(F31,1)*LEFT(G31,1))</f>
        <v/>
      </c>
      <c r="I31" s="15" t="str">
        <f aca="false">IF(H31="","",IF(H31&gt;=15,"Критичний",IF(H31&gt;=10,"Високий",IF(H31&gt;=5,"Середній","Низький"))))</f>
        <v/>
      </c>
      <c r="J31" s="14"/>
      <c r="K31" s="14"/>
      <c r="L31" s="14"/>
      <c r="M31" s="14"/>
      <c r="N31" s="14"/>
      <c r="O31" s="16"/>
      <c r="P31" s="14"/>
      <c r="Q31" s="14"/>
      <c r="R31" s="14"/>
    </row>
    <row r="32" customFormat="false" ht="30" hidden="false" customHeight="true" outlineLevel="0" collapsed="false">
      <c r="A32" s="13"/>
      <c r="B32" s="14"/>
      <c r="C32" s="14"/>
      <c r="D32" s="14"/>
      <c r="E32" s="14"/>
      <c r="F32" s="14"/>
      <c r="G32" s="14"/>
      <c r="H32" s="15" t="str">
        <f aca="false">IF(OR(N(F32)=0,N(G32)=0),"",LEFT(F32,1)*LEFT(G32,1))</f>
        <v/>
      </c>
      <c r="I32" s="15" t="str">
        <f aca="false">IF(H32="","",IF(H32&gt;=15,"Критичний",IF(H32&gt;=10,"Високий",IF(H32&gt;=5,"Середній","Низький"))))</f>
        <v/>
      </c>
      <c r="J32" s="14"/>
      <c r="K32" s="14"/>
      <c r="L32" s="14"/>
      <c r="M32" s="14"/>
      <c r="N32" s="14"/>
      <c r="O32" s="16"/>
      <c r="P32" s="14"/>
      <c r="Q32" s="14"/>
      <c r="R32" s="14"/>
    </row>
    <row r="33" customFormat="false" ht="30" hidden="false" customHeight="true" outlineLevel="0" collapsed="false">
      <c r="A33" s="13"/>
      <c r="B33" s="14"/>
      <c r="C33" s="14"/>
      <c r="D33" s="14"/>
      <c r="E33" s="14"/>
      <c r="F33" s="14"/>
      <c r="G33" s="14"/>
      <c r="H33" s="15" t="str">
        <f aca="false">IF(OR(N(F33)=0,N(G33)=0),"",LEFT(F33,1)*LEFT(G33,1))</f>
        <v/>
      </c>
      <c r="I33" s="15" t="str">
        <f aca="false">IF(H33="","",IF(H33&gt;=15,"Критичний",IF(H33&gt;=10,"Високий",IF(H33&gt;=5,"Середній","Низький"))))</f>
        <v/>
      </c>
      <c r="J33" s="14"/>
      <c r="K33" s="14"/>
      <c r="L33" s="14"/>
      <c r="M33" s="14"/>
      <c r="N33" s="14"/>
      <c r="O33" s="16"/>
      <c r="P33" s="14"/>
      <c r="Q33" s="14"/>
      <c r="R33" s="14"/>
    </row>
    <row r="34" customFormat="false" ht="30" hidden="false" customHeight="true" outlineLevel="0" collapsed="false">
      <c r="A34" s="13"/>
      <c r="B34" s="14"/>
      <c r="C34" s="14"/>
      <c r="D34" s="14"/>
      <c r="E34" s="14"/>
      <c r="F34" s="14"/>
      <c r="G34" s="14"/>
      <c r="H34" s="15" t="str">
        <f aca="false">IF(OR(N(F34)=0,N(G34)=0),"",LEFT(F34,1)*LEFT(G34,1))</f>
        <v/>
      </c>
      <c r="I34" s="15" t="str">
        <f aca="false">IF(H34="","",IF(H34&gt;=15,"Критичний",IF(H34&gt;=10,"Високий",IF(H34&gt;=5,"Середній","Низький"))))</f>
        <v/>
      </c>
      <c r="J34" s="14"/>
      <c r="K34" s="14"/>
      <c r="L34" s="14"/>
      <c r="M34" s="14"/>
      <c r="N34" s="14"/>
      <c r="O34" s="16"/>
      <c r="P34" s="14"/>
      <c r="Q34" s="14"/>
      <c r="R34" s="14"/>
    </row>
    <row r="35" customFormat="false" ht="30" hidden="false" customHeight="true" outlineLevel="0" collapsed="false">
      <c r="A35" s="13"/>
      <c r="B35" s="14"/>
      <c r="C35" s="14"/>
      <c r="D35" s="14"/>
      <c r="E35" s="14"/>
      <c r="F35" s="14"/>
      <c r="G35" s="14"/>
      <c r="H35" s="15" t="str">
        <f aca="false">IF(OR(N(F35)=0,N(G35)=0),"",LEFT(F35,1)*LEFT(G35,1))</f>
        <v/>
      </c>
      <c r="I35" s="15" t="str">
        <f aca="false">IF(H35="","",IF(H35&gt;=15,"Критичний",IF(H35&gt;=10,"Високий",IF(H35&gt;=5,"Середній","Низький"))))</f>
        <v/>
      </c>
      <c r="J35" s="14"/>
      <c r="K35" s="14"/>
      <c r="L35" s="14"/>
      <c r="M35" s="14"/>
      <c r="N35" s="14"/>
      <c r="O35" s="16"/>
      <c r="P35" s="14"/>
      <c r="Q35" s="14"/>
      <c r="R35" s="14"/>
    </row>
    <row r="36" customFormat="false" ht="30" hidden="false" customHeight="true" outlineLevel="0" collapsed="false">
      <c r="A36" s="13"/>
      <c r="B36" s="14"/>
      <c r="C36" s="14"/>
      <c r="D36" s="14"/>
      <c r="E36" s="14"/>
      <c r="F36" s="14"/>
      <c r="G36" s="14"/>
      <c r="H36" s="15" t="str">
        <f aca="false">IF(OR(N(F36)=0,N(G36)=0),"",LEFT(F36,1)*LEFT(G36,1))</f>
        <v/>
      </c>
      <c r="I36" s="15" t="str">
        <f aca="false">IF(H36="","",IF(H36&gt;=15,"Критичний",IF(H36&gt;=10,"Високий",IF(H36&gt;=5,"Середній","Низький"))))</f>
        <v/>
      </c>
      <c r="J36" s="14"/>
      <c r="K36" s="14"/>
      <c r="L36" s="14"/>
      <c r="M36" s="14"/>
      <c r="N36" s="14"/>
      <c r="O36" s="16"/>
      <c r="P36" s="14"/>
      <c r="Q36" s="14"/>
      <c r="R36" s="14"/>
    </row>
    <row r="37" customFormat="false" ht="30" hidden="false" customHeight="true" outlineLevel="0" collapsed="false">
      <c r="A37" s="13"/>
      <c r="B37" s="14"/>
      <c r="C37" s="14"/>
      <c r="D37" s="14"/>
      <c r="E37" s="14"/>
      <c r="F37" s="14"/>
      <c r="G37" s="14"/>
      <c r="H37" s="15" t="str">
        <f aca="false">IF(OR(N(F37)=0,N(G37)=0),"",LEFT(F37,1)*LEFT(G37,1))</f>
        <v/>
      </c>
      <c r="I37" s="15" t="str">
        <f aca="false">IF(H37="","",IF(H37&gt;=15,"Критичний",IF(H37&gt;=10,"Високий",IF(H37&gt;=5,"Середній","Низький"))))</f>
        <v/>
      </c>
      <c r="J37" s="14"/>
      <c r="K37" s="14"/>
      <c r="L37" s="14"/>
      <c r="M37" s="14"/>
      <c r="N37" s="14"/>
      <c r="O37" s="16"/>
      <c r="P37" s="14"/>
      <c r="Q37" s="14"/>
      <c r="R37" s="14"/>
    </row>
    <row r="38" customFormat="false" ht="30" hidden="false" customHeight="true" outlineLevel="0" collapsed="false">
      <c r="A38" s="13"/>
      <c r="B38" s="14"/>
      <c r="C38" s="14"/>
      <c r="D38" s="14"/>
      <c r="E38" s="14"/>
      <c r="F38" s="14"/>
      <c r="G38" s="14"/>
      <c r="H38" s="15" t="str">
        <f aca="false">IF(OR(N(F38)=0,N(G38)=0),"",LEFT(F38,1)*LEFT(G38,1))</f>
        <v/>
      </c>
      <c r="I38" s="15" t="str">
        <f aca="false">IF(H38="","",IF(H38&gt;=15,"Критичний",IF(H38&gt;=10,"Високий",IF(H38&gt;=5,"Середній","Низький"))))</f>
        <v/>
      </c>
      <c r="J38" s="14"/>
      <c r="K38" s="14"/>
      <c r="L38" s="14"/>
      <c r="M38" s="14"/>
      <c r="N38" s="14"/>
      <c r="O38" s="16"/>
      <c r="P38" s="14"/>
      <c r="Q38" s="14"/>
      <c r="R38" s="14"/>
    </row>
    <row r="39" customFormat="false" ht="30" hidden="false" customHeight="true" outlineLevel="0" collapsed="false">
      <c r="A39" s="13"/>
      <c r="B39" s="14"/>
      <c r="C39" s="14"/>
      <c r="D39" s="14"/>
      <c r="E39" s="14"/>
      <c r="F39" s="14"/>
      <c r="G39" s="14"/>
      <c r="H39" s="15" t="str">
        <f aca="false">IF(OR(N(F39)=0,N(G39)=0),"",LEFT(F39,1)*LEFT(G39,1))</f>
        <v/>
      </c>
      <c r="I39" s="15" t="str">
        <f aca="false">IF(H39="","",IF(H39&gt;=15,"Критичний",IF(H39&gt;=10,"Високий",IF(H39&gt;=5,"Середній","Низький"))))</f>
        <v/>
      </c>
      <c r="J39" s="14"/>
      <c r="K39" s="14"/>
      <c r="L39" s="14"/>
      <c r="M39" s="14"/>
      <c r="N39" s="14"/>
      <c r="O39" s="16"/>
      <c r="P39" s="14"/>
      <c r="Q39" s="14"/>
      <c r="R39" s="14"/>
    </row>
    <row r="40" customFormat="false" ht="30" hidden="false" customHeight="true" outlineLevel="0" collapsed="false">
      <c r="A40" s="13"/>
      <c r="B40" s="14"/>
      <c r="C40" s="14"/>
      <c r="D40" s="14"/>
      <c r="E40" s="14"/>
      <c r="F40" s="14"/>
      <c r="G40" s="14"/>
      <c r="H40" s="15" t="str">
        <f aca="false">IF(OR(N(F40)=0,N(G40)=0),"",LEFT(F40,1)*LEFT(G40,1))</f>
        <v/>
      </c>
      <c r="I40" s="15" t="str">
        <f aca="false">IF(H40="","",IF(H40&gt;=15,"Критичний",IF(H40&gt;=10,"Високий",IF(H40&gt;=5,"Середній","Низький"))))</f>
        <v/>
      </c>
      <c r="J40" s="14"/>
      <c r="K40" s="14"/>
      <c r="L40" s="14"/>
      <c r="M40" s="14"/>
      <c r="N40" s="14"/>
      <c r="O40" s="16"/>
      <c r="P40" s="14"/>
      <c r="Q40" s="14"/>
      <c r="R40" s="14"/>
    </row>
    <row r="41" customFormat="false" ht="30" hidden="false" customHeight="true" outlineLevel="0" collapsed="false">
      <c r="A41" s="13"/>
      <c r="B41" s="14"/>
      <c r="C41" s="14"/>
      <c r="D41" s="14"/>
      <c r="E41" s="14"/>
      <c r="F41" s="14"/>
      <c r="G41" s="14"/>
      <c r="H41" s="15" t="str">
        <f aca="false">IF(OR(N(F41)=0,N(G41)=0),"",LEFT(F41,1)*LEFT(G41,1))</f>
        <v/>
      </c>
      <c r="I41" s="15" t="str">
        <f aca="false">IF(H41="","",IF(H41&gt;=15,"Критичний",IF(H41&gt;=10,"Високий",IF(H41&gt;=5,"Середній","Низький"))))</f>
        <v/>
      </c>
      <c r="J41" s="14"/>
      <c r="K41" s="14"/>
      <c r="L41" s="14"/>
      <c r="M41" s="14"/>
      <c r="N41" s="14"/>
      <c r="O41" s="16"/>
      <c r="P41" s="14"/>
      <c r="Q41" s="14"/>
      <c r="R41" s="14"/>
    </row>
    <row r="42" customFormat="false" ht="30" hidden="false" customHeight="true" outlineLevel="0" collapsed="false">
      <c r="A42" s="13"/>
      <c r="B42" s="14"/>
      <c r="C42" s="14"/>
      <c r="D42" s="14"/>
      <c r="E42" s="14"/>
      <c r="F42" s="14"/>
      <c r="G42" s="14"/>
      <c r="H42" s="15" t="str">
        <f aca="false">IF(OR(N(F42)=0,N(G42)=0),"",LEFT(F42,1)*LEFT(G42,1))</f>
        <v/>
      </c>
      <c r="I42" s="15" t="str">
        <f aca="false">IF(H42="","",IF(H42&gt;=15,"Критичний",IF(H42&gt;=10,"Високий",IF(H42&gt;=5,"Середній","Низький"))))</f>
        <v/>
      </c>
      <c r="J42" s="14"/>
      <c r="K42" s="14"/>
      <c r="L42" s="14"/>
      <c r="M42" s="14"/>
      <c r="N42" s="14"/>
      <c r="O42" s="16"/>
      <c r="P42" s="14"/>
      <c r="Q42" s="14"/>
      <c r="R42" s="14"/>
    </row>
    <row r="43" customFormat="false" ht="22.35" hidden="false" customHeight="false" outlineLevel="0" collapsed="false">
      <c r="A43" s="17"/>
      <c r="B43" s="17"/>
      <c r="C43" s="17"/>
      <c r="D43" s="17"/>
      <c r="E43" s="18" t="s">
        <v>204</v>
      </c>
      <c r="F43" s="17"/>
      <c r="G43" s="17"/>
      <c r="H43" s="17"/>
      <c r="I43" s="19" t="str">
        <f aca="false">COUNTIF(I3:I42,"Критичний")&amp;" К / "&amp;COUNTIF(I3:I42,"Високий")&amp;" В / "&amp;COUNTIF(I3:I42,"Середній")&amp;" С / "&amp;COUNTIF(I3:I42,"Низький")&amp;" Н"</f>
        <v>0 К / 0 В / 1 С / 0 Н</v>
      </c>
      <c r="J43" s="17"/>
      <c r="K43" s="17"/>
      <c r="L43" s="17"/>
      <c r="M43" s="17"/>
      <c r="N43" s="17"/>
      <c r="O43" s="20" t="n">
        <f aca="false">SUM(O3:O42)</f>
        <v>0</v>
      </c>
      <c r="P43" s="17"/>
      <c r="Q43" s="17"/>
      <c r="R43" s="17"/>
    </row>
  </sheetData>
  <mergeCells count="1">
    <mergeCell ref="A1:R1"/>
  </mergeCells>
  <conditionalFormatting sqref="I3:I42">
    <cfRule type="expression" priority="2" aboveAverage="0" equalAverage="0" bottom="0" percent="0" rank="0" text="" dxfId="0">
      <formula>$I3="Критичний"</formula>
    </cfRule>
    <cfRule type="expression" priority="3" aboveAverage="0" equalAverage="0" bottom="0" percent="0" rank="0" text="" dxfId="1">
      <formula>$I3="Високий"</formula>
    </cfRule>
    <cfRule type="expression" priority="4" aboveAverage="0" equalAverage="0" bottom="0" percent="0" rank="0" text="" dxfId="2">
      <formula>$I3="Середній"</formula>
    </cfRule>
    <cfRule type="expression" priority="5" aboveAverage="0" equalAverage="0" bottom="0" percent="0" rank="0" text="" dxfId="3">
      <formula>$I3="Низький"</formula>
    </cfRule>
  </conditionalFormatting>
  <dataValidations count="7">
    <dataValidation allowBlank="true" errorStyle="stop" operator="between" showDropDown="false" showErrorMessage="false" showInputMessage="false" sqref="C3:C42" type="list">
      <formula1>Довідники!$A$2:$A$45</formula1>
      <formula2>0</formula2>
    </dataValidation>
    <dataValidation allowBlank="true" errorStyle="stop" operator="between" showDropDown="false" showErrorMessage="false" showInputMessage="false" sqref="F3:F42" type="list">
      <formula1>Довідники!$B$2:$B$6</formula1>
      <formula2>0</formula2>
    </dataValidation>
    <dataValidation allowBlank="true" errorStyle="stop" operator="between" showDropDown="false" showErrorMessage="false" showInputMessage="false" sqref="G3:G42" type="list">
      <formula1>Довідники!$C$2:$C$6</formula1>
      <formula2>0</formula2>
    </dataValidation>
    <dataValidation allowBlank="true" errorStyle="stop" operator="between" showDropDown="false" showErrorMessage="false" showInputMessage="false" sqref="D3:D42" type="list">
      <formula1>Довідники!$G$2:$G$3</formula1>
      <formula2>0</formula2>
    </dataValidation>
    <dataValidation allowBlank="true" errorStyle="stop" operator="between" showDropDown="false" showErrorMessage="false" showInputMessage="false" sqref="J3:J42" type="list">
      <formula1>Довідники!$D$2:$D$9</formula1>
      <formula2>0</formula2>
    </dataValidation>
    <dataValidation allowBlank="true" errorStyle="stop" operator="between" showDropDown="false" showErrorMessage="false" showInputMessage="false" sqref="L3:L42" type="list">
      <formula1>Довідники!$F$2:$F$8</formula1>
      <formula2>0</formula2>
    </dataValidation>
    <dataValidation allowBlank="true" errorStyle="stop" operator="between" showDropDown="false" showErrorMessage="false" showInputMessage="false" sqref="Q3:Q42" type="list">
      <formula1>Довідники!$E$2:$E$7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2"/>
  </cols>
  <sheetData>
    <row r="1" customFormat="false" ht="25.5" hidden="false" customHeight="true" outlineLevel="0" collapsed="false">
      <c r="A1" s="1" t="s">
        <v>205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1" t="s">
        <v>206</v>
      </c>
    </row>
    <row r="4" customFormat="false" ht="15" hidden="false" customHeight="false" outlineLevel="0" collapsed="false">
      <c r="A4" s="21"/>
      <c r="B4" s="3" t="s">
        <v>207</v>
      </c>
      <c r="C4" s="3" t="s">
        <v>208</v>
      </c>
      <c r="D4" s="3" t="s">
        <v>209</v>
      </c>
      <c r="E4" s="3" t="s">
        <v>210</v>
      </c>
      <c r="F4" s="3" t="s">
        <v>211</v>
      </c>
    </row>
    <row r="5" customFormat="false" ht="24" hidden="false" customHeight="true" outlineLevel="0" collapsed="false">
      <c r="A5" s="3" t="s">
        <v>211</v>
      </c>
      <c r="B5" s="22" t="n">
        <v>5</v>
      </c>
      <c r="C5" s="23" t="n">
        <v>10</v>
      </c>
      <c r="D5" s="24" t="n">
        <v>15</v>
      </c>
      <c r="E5" s="24" t="n">
        <v>20</v>
      </c>
      <c r="F5" s="24" t="n">
        <v>25</v>
      </c>
    </row>
    <row r="6" customFormat="false" ht="24" hidden="false" customHeight="true" outlineLevel="0" collapsed="false">
      <c r="A6" s="3" t="s">
        <v>210</v>
      </c>
      <c r="B6" s="25" t="n">
        <v>4</v>
      </c>
      <c r="C6" s="22" t="n">
        <v>8</v>
      </c>
      <c r="D6" s="23" t="n">
        <v>12</v>
      </c>
      <c r="E6" s="24" t="n">
        <v>16</v>
      </c>
      <c r="F6" s="24" t="n">
        <v>20</v>
      </c>
    </row>
    <row r="7" customFormat="false" ht="24" hidden="false" customHeight="true" outlineLevel="0" collapsed="false">
      <c r="A7" s="3" t="s">
        <v>209</v>
      </c>
      <c r="B7" s="25" t="n">
        <v>3</v>
      </c>
      <c r="C7" s="22" t="n">
        <v>6</v>
      </c>
      <c r="D7" s="22" t="n">
        <v>9</v>
      </c>
      <c r="E7" s="23" t="n">
        <v>12</v>
      </c>
      <c r="F7" s="24" t="n">
        <v>15</v>
      </c>
    </row>
    <row r="8" customFormat="false" ht="24" hidden="false" customHeight="true" outlineLevel="0" collapsed="false">
      <c r="A8" s="3" t="s">
        <v>208</v>
      </c>
      <c r="B8" s="25" t="n">
        <v>2</v>
      </c>
      <c r="C8" s="25" t="n">
        <v>4</v>
      </c>
      <c r="D8" s="22" t="n">
        <v>6</v>
      </c>
      <c r="E8" s="22" t="n">
        <v>8</v>
      </c>
      <c r="F8" s="23" t="n">
        <v>10</v>
      </c>
    </row>
    <row r="9" customFormat="false" ht="24" hidden="false" customHeight="true" outlineLevel="0" collapsed="false">
      <c r="A9" s="3" t="s">
        <v>207</v>
      </c>
      <c r="B9" s="25" t="n">
        <v>1</v>
      </c>
      <c r="C9" s="25" t="n">
        <v>2</v>
      </c>
      <c r="D9" s="25" t="n">
        <v>3</v>
      </c>
      <c r="E9" s="25" t="n">
        <v>4</v>
      </c>
      <c r="F9" s="22" t="n">
        <v>5</v>
      </c>
    </row>
    <row r="11" customFormat="false" ht="24" hidden="false" customHeight="true" outlineLevel="0" collapsed="false">
      <c r="A11" s="26" t="s">
        <v>212</v>
      </c>
      <c r="B11" s="27" t="s">
        <v>213</v>
      </c>
      <c r="C11" s="28" t="s">
        <v>214</v>
      </c>
      <c r="D11" s="29" t="s">
        <v>215</v>
      </c>
      <c r="E11" s="30" t="s">
        <v>216</v>
      </c>
    </row>
  </sheetData>
  <mergeCells count="2">
    <mergeCell ref="A1:F1"/>
    <mergeCell ref="A3:A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2"/>
    <col collapsed="false" customWidth="true" hidden="false" outlineLevel="0" max="6" min="6" style="0" width="3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31" t="s">
        <v>217</v>
      </c>
      <c r="B1" s="31" t="s">
        <v>218</v>
      </c>
      <c r="C1" s="31" t="s">
        <v>219</v>
      </c>
      <c r="D1" s="31" t="s">
        <v>220</v>
      </c>
      <c r="E1" s="31" t="s">
        <v>191</v>
      </c>
      <c r="F1" s="31" t="s">
        <v>221</v>
      </c>
      <c r="G1" s="31" t="s">
        <v>178</v>
      </c>
    </row>
    <row r="2" customFormat="false" ht="15" hidden="false" customHeight="false" outlineLevel="0" collapsed="false">
      <c r="A2" s="32" t="s">
        <v>222</v>
      </c>
      <c r="B2" s="32" t="s">
        <v>223</v>
      </c>
      <c r="C2" s="32" t="s">
        <v>224</v>
      </c>
      <c r="D2" s="32" t="s">
        <v>225</v>
      </c>
      <c r="E2" s="32" t="s">
        <v>202</v>
      </c>
      <c r="F2" s="32" t="s">
        <v>226</v>
      </c>
      <c r="G2" s="32" t="s">
        <v>195</v>
      </c>
    </row>
    <row r="3" customFormat="false" ht="15" hidden="false" customHeight="false" outlineLevel="0" collapsed="false">
      <c r="A3" s="32" t="s">
        <v>227</v>
      </c>
      <c r="B3" s="32" t="s">
        <v>228</v>
      </c>
      <c r="C3" s="32" t="s">
        <v>229</v>
      </c>
      <c r="D3" s="32" t="s">
        <v>197</v>
      </c>
      <c r="E3" s="32" t="s">
        <v>230</v>
      </c>
      <c r="F3" s="32" t="s">
        <v>199</v>
      </c>
      <c r="G3" s="32" t="s">
        <v>231</v>
      </c>
    </row>
    <row r="4" customFormat="false" ht="15" hidden="false" customHeight="false" outlineLevel="0" collapsed="false">
      <c r="A4" s="32" t="s">
        <v>232</v>
      </c>
      <c r="B4" s="32" t="s">
        <v>233</v>
      </c>
      <c r="C4" s="32" t="s">
        <v>234</v>
      </c>
      <c r="D4" s="32" t="s">
        <v>235</v>
      </c>
      <c r="E4" s="32" t="s">
        <v>236</v>
      </c>
      <c r="F4" s="32" t="s">
        <v>237</v>
      </c>
    </row>
    <row r="5" customFormat="false" ht="15" hidden="false" customHeight="false" outlineLevel="0" collapsed="false">
      <c r="A5" s="32" t="s">
        <v>238</v>
      </c>
      <c r="B5" s="32" t="s">
        <v>239</v>
      </c>
      <c r="C5" s="32" t="s">
        <v>240</v>
      </c>
      <c r="D5" s="32" t="s">
        <v>241</v>
      </c>
      <c r="E5" s="32" t="s">
        <v>242</v>
      </c>
      <c r="F5" s="32" t="s">
        <v>243</v>
      </c>
    </row>
    <row r="6" customFormat="false" ht="15" hidden="false" customHeight="false" outlineLevel="0" collapsed="false">
      <c r="A6" s="32" t="s">
        <v>244</v>
      </c>
      <c r="B6" s="32" t="s">
        <v>245</v>
      </c>
      <c r="C6" s="32" t="s">
        <v>246</v>
      </c>
      <c r="D6" s="32" t="s">
        <v>247</v>
      </c>
      <c r="E6" s="32" t="s">
        <v>248</v>
      </c>
      <c r="F6" s="32" t="s">
        <v>249</v>
      </c>
    </row>
    <row r="7" customFormat="false" ht="15" hidden="false" customHeight="false" outlineLevel="0" collapsed="false">
      <c r="A7" s="32" t="s">
        <v>250</v>
      </c>
      <c r="D7" s="32" t="s">
        <v>251</v>
      </c>
      <c r="E7" s="32" t="s">
        <v>252</v>
      </c>
      <c r="F7" s="32" t="s">
        <v>253</v>
      </c>
    </row>
    <row r="8" customFormat="false" ht="15" hidden="false" customHeight="false" outlineLevel="0" collapsed="false">
      <c r="A8" s="32" t="s">
        <v>254</v>
      </c>
      <c r="D8" s="32" t="s">
        <v>255</v>
      </c>
      <c r="F8" s="32" t="s">
        <v>256</v>
      </c>
    </row>
    <row r="9" customFormat="false" ht="15" hidden="false" customHeight="false" outlineLevel="0" collapsed="false">
      <c r="A9" s="32" t="s">
        <v>257</v>
      </c>
      <c r="D9" s="32" t="s">
        <v>258</v>
      </c>
    </row>
    <row r="10" customFormat="false" ht="15" hidden="false" customHeight="false" outlineLevel="0" collapsed="false">
      <c r="A10" s="32" t="s">
        <v>259</v>
      </c>
    </row>
    <row r="11" customFormat="false" ht="15" hidden="false" customHeight="false" outlineLevel="0" collapsed="false">
      <c r="A11" s="32" t="s">
        <v>260</v>
      </c>
    </row>
    <row r="12" customFormat="false" ht="15" hidden="false" customHeight="false" outlineLevel="0" collapsed="false">
      <c r="A12" s="32" t="s">
        <v>261</v>
      </c>
    </row>
    <row r="13" customFormat="false" ht="22.35" hidden="false" customHeight="false" outlineLevel="0" collapsed="false">
      <c r="A13" s="32" t="s">
        <v>262</v>
      </c>
    </row>
    <row r="14" customFormat="false" ht="15" hidden="false" customHeight="false" outlineLevel="0" collapsed="false">
      <c r="A14" s="32" t="s">
        <v>263</v>
      </c>
    </row>
    <row r="15" customFormat="false" ht="15" hidden="false" customHeight="false" outlineLevel="0" collapsed="false">
      <c r="A15" s="32" t="s">
        <v>264</v>
      </c>
    </row>
    <row r="16" customFormat="false" ht="15" hidden="false" customHeight="false" outlineLevel="0" collapsed="false">
      <c r="A16" s="32" t="s">
        <v>265</v>
      </c>
    </row>
    <row r="17" customFormat="false" ht="15" hidden="false" customHeight="false" outlineLevel="0" collapsed="false">
      <c r="A17" s="32" t="s">
        <v>266</v>
      </c>
    </row>
    <row r="18" customFormat="false" ht="15" hidden="false" customHeight="false" outlineLevel="0" collapsed="false">
      <c r="A18" s="32" t="s">
        <v>267</v>
      </c>
    </row>
    <row r="19" customFormat="false" ht="15" hidden="false" customHeight="false" outlineLevel="0" collapsed="false">
      <c r="A19" s="32" t="s">
        <v>268</v>
      </c>
    </row>
    <row r="20" customFormat="false" ht="15" hidden="false" customHeight="false" outlineLevel="0" collapsed="false">
      <c r="A20" s="32" t="s">
        <v>194</v>
      </c>
    </row>
    <row r="21" customFormat="false" ht="15" hidden="false" customHeight="false" outlineLevel="0" collapsed="false">
      <c r="A21" s="32" t="s">
        <v>269</v>
      </c>
    </row>
    <row r="22" customFormat="false" ht="15" hidden="false" customHeight="false" outlineLevel="0" collapsed="false">
      <c r="A22" s="32" t="s">
        <v>270</v>
      </c>
    </row>
    <row r="23" customFormat="false" ht="15" hidden="false" customHeight="false" outlineLevel="0" collapsed="false">
      <c r="A23" s="32" t="s">
        <v>271</v>
      </c>
    </row>
    <row r="24" customFormat="false" ht="15" hidden="false" customHeight="false" outlineLevel="0" collapsed="false">
      <c r="A24" s="32" t="s">
        <v>272</v>
      </c>
    </row>
    <row r="25" customFormat="false" ht="15" hidden="false" customHeight="false" outlineLevel="0" collapsed="false">
      <c r="A25" s="32" t="s">
        <v>273</v>
      </c>
    </row>
    <row r="26" customFormat="false" ht="15" hidden="false" customHeight="false" outlineLevel="0" collapsed="false">
      <c r="A26" s="32" t="s">
        <v>274</v>
      </c>
    </row>
    <row r="27" customFormat="false" ht="15" hidden="false" customHeight="false" outlineLevel="0" collapsed="false">
      <c r="A27" s="32" t="s">
        <v>275</v>
      </c>
    </row>
    <row r="28" customFormat="false" ht="22.35" hidden="false" customHeight="false" outlineLevel="0" collapsed="false">
      <c r="A28" s="32" t="s">
        <v>276</v>
      </c>
    </row>
    <row r="29" customFormat="false" ht="15" hidden="false" customHeight="false" outlineLevel="0" collapsed="false">
      <c r="A29" s="32" t="s">
        <v>277</v>
      </c>
    </row>
    <row r="30" customFormat="false" ht="22.35" hidden="false" customHeight="false" outlineLevel="0" collapsed="false">
      <c r="A30" s="32" t="s">
        <v>278</v>
      </c>
    </row>
    <row r="31" customFormat="false" ht="15" hidden="false" customHeight="false" outlineLevel="0" collapsed="false">
      <c r="A31" s="32" t="s">
        <v>279</v>
      </c>
    </row>
    <row r="32" customFormat="false" ht="15" hidden="false" customHeight="false" outlineLevel="0" collapsed="false">
      <c r="A32" s="32" t="s">
        <v>280</v>
      </c>
    </row>
    <row r="33" customFormat="false" ht="15" hidden="false" customHeight="false" outlineLevel="0" collapsed="false">
      <c r="A33" s="32" t="s">
        <v>281</v>
      </c>
    </row>
    <row r="34" customFormat="false" ht="15" hidden="false" customHeight="false" outlineLevel="0" collapsed="false">
      <c r="A34" s="32" t="s">
        <v>282</v>
      </c>
    </row>
    <row r="35" customFormat="false" ht="15" hidden="false" customHeight="false" outlineLevel="0" collapsed="false">
      <c r="A35" s="32" t="s">
        <v>283</v>
      </c>
    </row>
    <row r="36" customFormat="false" ht="15" hidden="false" customHeight="false" outlineLevel="0" collapsed="false">
      <c r="A36" s="32" t="s">
        <v>284</v>
      </c>
    </row>
    <row r="37" customFormat="false" ht="22.35" hidden="false" customHeight="false" outlineLevel="0" collapsed="false">
      <c r="A37" s="32" t="s">
        <v>285</v>
      </c>
    </row>
    <row r="38" customFormat="false" ht="15" hidden="false" customHeight="false" outlineLevel="0" collapsed="false">
      <c r="A38" s="32" t="s">
        <v>286</v>
      </c>
    </row>
    <row r="39" customFormat="false" ht="15" hidden="false" customHeight="false" outlineLevel="0" collapsed="false">
      <c r="A39" s="32" t="s">
        <v>287</v>
      </c>
    </row>
    <row r="40" customFormat="false" ht="15" hidden="false" customHeight="false" outlineLevel="0" collapsed="false">
      <c r="A40" s="32" t="s">
        <v>288</v>
      </c>
    </row>
    <row r="41" customFormat="false" ht="15" hidden="false" customHeight="false" outlineLevel="0" collapsed="false">
      <c r="A41" s="32" t="s">
        <v>289</v>
      </c>
    </row>
    <row r="42" customFormat="false" ht="15" hidden="false" customHeight="false" outlineLevel="0" collapsed="false">
      <c r="A42" s="32" t="s">
        <v>290</v>
      </c>
    </row>
    <row r="43" customFormat="false" ht="15" hidden="false" customHeight="false" outlineLevel="0" collapsed="false">
      <c r="A43" s="32" t="s">
        <v>291</v>
      </c>
    </row>
    <row r="44" customFormat="false" ht="22.35" hidden="false" customHeight="false" outlineLevel="0" collapsed="false">
      <c r="A44" s="32" t="s">
        <v>292</v>
      </c>
    </row>
    <row r="45" customFormat="false" ht="15" hidden="false" customHeight="false" outlineLevel="0" collapsed="false">
      <c r="A45" s="32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2026-07-26T06:11:58Z</dcterms:created>
  <dc:creator>openpyxl</dc:creator>
  <dc:description/>
  <dc:language>en-US</dc:language>
  <cp:lastModifiedBy/>
  <dcterms:modified xsi:type="dcterms:W3CDTF">2026-07-26T06:11:59Z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