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нструкція" sheetId="1" state="visible" r:id="rId3"/>
    <sheet name="Довідники" sheetId="2" state="visible" r:id="rId4"/>
    <sheet name="RBS ризиків" sheetId="3" state="visible" r:id="rId5"/>
    <sheet name="Реєстр ризиків" sheetId="4" state="visible" r:id="rId6"/>
    <sheet name="Матриця 5x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ОУП</author>
  </authors>
  <commentList>
    <comment ref="H2" authorId="0">
      <text>
        <r>
          <rPr>
            <sz val="10"/>
            <rFont val="Arial"/>
            <family val="2"/>
          </rPr>
          <t xml:space="preserve">Бал = Ймовірність × Вплив (беремо перше число зі списку 1–5). Формула.</t>
        </r>
      </text>
    </comment>
  </commentList>
</comments>
</file>

<file path=xl/sharedStrings.xml><?xml version="1.0" encoding="utf-8"?>
<sst xmlns="http://schemas.openxmlformats.org/spreadsheetml/2006/main" count="246" uniqueCount="203">
  <si>
    <t xml:space="preserve">PILLAR Digital Platform · Реєстр ризиків (Risk Register)</t>
  </si>
  <si>
    <t xml:space="preserve">Шаблон ОУП · PMBOK 11 (Risk Management) · ред. 1.0 · веде керівник проєкту, перегляд щотижня</t>
  </si>
  <si>
    <t xml:space="preserve">Про документ</t>
  </si>
  <si>
    <t xml:space="preserve">Призначення</t>
  </si>
  <si>
    <t xml:space="preserve">Реєстр ризиків — живий журнал усіх ідентифікованих ризиків (загроз і можливостей) проєкту: опис, оцінка ймовірності та впливу, пріоритет, стратегія й план реагування, власник, тригери, статус, залишковий ризик. Оновлюється на кожному перегляді ризиків.</t>
  </si>
  <si>
    <t xml:space="preserve">RBS vs Реєстр</t>
  </si>
  <si>
    <t xml:space="preserve">Risk Breakdown Structure (лист «RBS ризиків») — це ДЕРЕВО КАТЕГОРІЙ ризиків. Реєстр — це СПИСОК конкретних ризиків, кожен віднесено до категорії RBS. Не плутати з Resource Breakdown Structure (структура ресурсів) — вона в окремому файлі «Ресурсний план».</t>
  </si>
  <si>
    <t xml:space="preserve">Структура файлу</t>
  </si>
  <si>
    <t xml:space="preserve">1. RBS ризиків</t>
  </si>
  <si>
    <t xml:space="preserve">Ієрархія категорій ризику (технічні / зовнішні / організаційні / управління проєктом) з кодами.</t>
  </si>
  <si>
    <t xml:space="preserve">2. Реєстр ризиків</t>
  </si>
  <si>
    <t xml:space="preserve">Головна таблиця. Оцінка = Ймовірність × Вплив (шкали 1–5), рівень і колір — автоматично.</t>
  </si>
  <si>
    <t xml:space="preserve">3. Матриця 5×5</t>
  </si>
  <si>
    <t xml:space="preserve">Теплова карта ймовірність×вплив із порогами рівнів (довідка до колонки «Рівень»).</t>
  </si>
  <si>
    <t xml:space="preserve">4. Довідники</t>
  </si>
  <si>
    <t xml:space="preserve">Списки для випадаючих меню: категорії RBS, шкали, стратегії, статуси, власники.</t>
  </si>
  <si>
    <t xml:space="preserve">Як заповнювати</t>
  </si>
  <si>
    <t xml:space="preserve">Сині значення</t>
  </si>
  <si>
    <t xml:space="preserve">Комірки із синім текстом та жовтим тлом — заповнює користувач. Чорні — формули, не чіпати.</t>
  </si>
  <si>
    <t xml:space="preserve">Опис ризику</t>
  </si>
  <si>
    <t xml:space="preserve">Формулювати як «ПРИЧИНА → ПОДІЯ (невизначеність) → НАСЛІДОК для цілі». Це знижує розмитість.</t>
  </si>
  <si>
    <t xml:space="preserve">Оцінка P×I</t>
  </si>
  <si>
    <t xml:space="preserve">Ймовірність і Вплив обирати 1–5 зі списку. Бал = P×I (1–25). Рівень: Низький/Середній/Високий/Критичний.</t>
  </si>
  <si>
    <t xml:space="preserve">Стратегія</t>
  </si>
  <si>
    <t xml:space="preserve">Загрози: Уникнути / Зменшити / Передати / Прийняти / Ескалувати. Можливості: Використати / Підсилити / Розділити / Прийняти.</t>
  </si>
  <si>
    <t xml:space="preserve">Резерв</t>
  </si>
  <si>
    <t xml:space="preserve">Резерв на непередбачене (грн) пов'язати з листом «Фінансові резерви» ресурсного плану (RBS 5.1).</t>
  </si>
  <si>
    <t xml:space="preserve">Приклад-рядки</t>
  </si>
  <si>
    <t xml:space="preserve">Перші рядки — реальні приклади під Pillar (Discovery, бюджет, залежність від Тиграна). Замінити/видалити.</t>
  </si>
  <si>
    <t xml:space="preserve">Легенда рівнів ризику</t>
  </si>
  <si>
    <t xml:space="preserve">Критичний (бал 15–25) — негайне реагування, ескалація</t>
  </si>
  <si>
    <t xml:space="preserve">Високий (10–14) — план реагування обов'язковий</t>
  </si>
  <si>
    <t xml:space="preserve">Середній (5–9) — план реагування, моніторинг</t>
  </si>
  <si>
    <t xml:space="preserve">Низький (1–4) — прийняти / спостерігати</t>
  </si>
  <si>
    <t xml:space="preserve">Поле для заповнення (ввід користувача)</t>
  </si>
  <si>
    <t xml:space="preserve">Категорії RBS ризиків</t>
  </si>
  <si>
    <t xml:space="preserve">Ймовірність (1–5)</t>
  </si>
  <si>
    <t xml:space="preserve">Вплив (1–5)</t>
  </si>
  <si>
    <t xml:space="preserve">Стратегія реагування</t>
  </si>
  <si>
    <t xml:space="preserve">Статус</t>
  </si>
  <si>
    <t xml:space="preserve">Власник ризику</t>
  </si>
  <si>
    <t xml:space="preserve">Тип</t>
  </si>
  <si>
    <t xml:space="preserve">1 · Технічні</t>
  </si>
  <si>
    <t xml:space="preserve">1 · Дуже низька</t>
  </si>
  <si>
    <t xml:space="preserve">1 · Незначний</t>
  </si>
  <si>
    <t xml:space="preserve">Уникнути</t>
  </si>
  <si>
    <t xml:space="preserve">Відкритий</t>
  </si>
  <si>
    <t xml:space="preserve">О. Хома (ОУП)</t>
  </si>
  <si>
    <t xml:space="preserve">Загроза</t>
  </si>
  <si>
    <t xml:space="preserve">1.1 · Вимоги / скоуп</t>
  </si>
  <si>
    <t xml:space="preserve">2 · Низька</t>
  </si>
  <si>
    <t xml:space="preserve">2 · Низький</t>
  </si>
  <si>
    <t xml:space="preserve">Зменшити</t>
  </si>
  <si>
    <t xml:space="preserve">Моніторинг</t>
  </si>
  <si>
    <t xml:space="preserve">О. Гостєв (спонсор)</t>
  </si>
  <si>
    <t xml:space="preserve">Можливість</t>
  </si>
  <si>
    <t xml:space="preserve">1.2 · Технологія / інтеграції</t>
  </si>
  <si>
    <t xml:space="preserve">3 · Середня</t>
  </si>
  <si>
    <t xml:space="preserve">3 · Помірний</t>
  </si>
  <si>
    <t xml:space="preserve">Передати</t>
  </si>
  <si>
    <t xml:space="preserve">У реагуванні</t>
  </si>
  <si>
    <t xml:space="preserve">І. Тарасенко (Quick Calculator)</t>
  </si>
  <si>
    <t xml:space="preserve">1.3 · Дані / якість даних</t>
  </si>
  <si>
    <t xml:space="preserve">4 · Висока</t>
  </si>
  <si>
    <t xml:space="preserve">4 · Суттєвий</t>
  </si>
  <si>
    <t xml:space="preserve">Прийняти</t>
  </si>
  <si>
    <t xml:space="preserve">Реалізувався (проблема)</t>
  </si>
  <si>
    <t xml:space="preserve">Тигран (розробка)</t>
  </si>
  <si>
    <t xml:space="preserve">1.4 · Продуктивність / архітектура</t>
  </si>
  <si>
    <t xml:space="preserve">5 · Дуже висока</t>
  </si>
  <si>
    <t xml:space="preserve">5 · Критичний</t>
  </si>
  <si>
    <t xml:space="preserve">Ескалувати</t>
  </si>
  <si>
    <t xml:space="preserve">Закритий</t>
  </si>
  <si>
    <t xml:space="preserve">Jarvis (Varzar/Smaglyuk)</t>
  </si>
  <si>
    <t xml:space="preserve">2 · Зовнішні</t>
  </si>
  <si>
    <t xml:space="preserve">Використати</t>
  </si>
  <si>
    <t xml:space="preserve">Не актуальний</t>
  </si>
  <si>
    <t xml:space="preserve">Кер. відділу продажів ЗЕД</t>
  </si>
  <si>
    <t xml:space="preserve">2.1 · Постачальники / підрядники</t>
  </si>
  <si>
    <t xml:space="preserve">Підсилити</t>
  </si>
  <si>
    <t xml:space="preserve">ПОТРІБНО УТОЧНИТИ</t>
  </si>
  <si>
    <t xml:space="preserve">2.2 · Регуляторні / правові</t>
  </si>
  <si>
    <t xml:space="preserve">Розділити</t>
  </si>
  <si>
    <t xml:space="preserve">2.3 · Ринок / замовник</t>
  </si>
  <si>
    <t xml:space="preserve">2.4 · Форс-мажор</t>
  </si>
  <si>
    <t xml:space="preserve">3 · Організаційні</t>
  </si>
  <si>
    <t xml:space="preserve">3.1 · Ресурси / компетенції</t>
  </si>
  <si>
    <t xml:space="preserve">3.2 · Фінансування / бюджет</t>
  </si>
  <si>
    <t xml:space="preserve">3.3 · Пріоритети / залежності</t>
  </si>
  <si>
    <t xml:space="preserve">3.4 · Комунікації / стейкхолдери</t>
  </si>
  <si>
    <t xml:space="preserve">4 · Управління проєктом</t>
  </si>
  <si>
    <t xml:space="preserve">4.1 · Планування / оцінки</t>
  </si>
  <si>
    <t xml:space="preserve">4.2 · Контроль / моніторинг</t>
  </si>
  <si>
    <t xml:space="preserve">4.3 · Процеси / методологія</t>
  </si>
  <si>
    <t xml:space="preserve">Risk Breakdown Structure — ієрархія категорій ризику проєкту PILLAR</t>
  </si>
  <si>
    <t xml:space="preserve">Код</t>
  </si>
  <si>
    <t xml:space="preserve">Категорія / підкатегорія</t>
  </si>
  <si>
    <t xml:space="preserve">Опис / приклади під Pillar</t>
  </si>
  <si>
    <t xml:space="preserve">1</t>
  </si>
  <si>
    <t xml:space="preserve">Технічні</t>
  </si>
  <si>
    <t xml:space="preserve">Ризики технології, вимог, даних, архітектури</t>
  </si>
  <si>
    <t xml:space="preserve">1.1</t>
  </si>
  <si>
    <t xml:space="preserve">Вимоги / скоуп</t>
  </si>
  <si>
    <t xml:space="preserve">Розмиті вимоги, скоуп-кріп; «автоматизація хаосу» замість процесу</t>
  </si>
  <si>
    <t xml:space="preserve">1.2</t>
  </si>
  <si>
    <t xml:space="preserve">Технологія / інтеграції</t>
  </si>
  <si>
    <t xml:space="preserve">Обмеження CRM/CPQ-платформи, складність інтеграцій, Bizagi→система</t>
  </si>
  <si>
    <t xml:space="preserve">1.3</t>
  </si>
  <si>
    <t xml:space="preserve">Дані / якість даних</t>
  </si>
  <si>
    <t xml:space="preserve">Неповні/брудні дані процесів «як є» для DATA CORE</t>
  </si>
  <si>
    <t xml:space="preserve">1.4</t>
  </si>
  <si>
    <t xml:space="preserve">Продуктивність / архітектура</t>
  </si>
  <si>
    <t xml:space="preserve">Масштабованість під майбутню ERP (PILLAR Project Hub)</t>
  </si>
  <si>
    <t xml:space="preserve">2</t>
  </si>
  <si>
    <t xml:space="preserve">Зовнішні</t>
  </si>
  <si>
    <t xml:space="preserve">Ризики поза контролем команди</t>
  </si>
  <si>
    <t xml:space="preserve">2.1</t>
  </si>
  <si>
    <t xml:space="preserve">Постачальники / підрядники</t>
  </si>
  <si>
    <t xml:space="preserve">Затримки Jarvis або PILLAR Germany; залежність від Тиграна</t>
  </si>
  <si>
    <t xml:space="preserve">2.2</t>
  </si>
  <si>
    <t xml:space="preserve">Регуляторні / правові</t>
  </si>
  <si>
    <t xml:space="preserve">NDA, персональні дані, погодження AI/хмарних сервісів (п.4.2 NDA)</t>
  </si>
  <si>
    <t xml:space="preserve">2.3</t>
  </si>
  <si>
    <t xml:space="preserve">Ринок / замовник</t>
  </si>
  <si>
    <t xml:space="preserve">Зміна пріоритетів бізнесу, доступність носіїв процесів</t>
  </si>
  <si>
    <t xml:space="preserve">2.4</t>
  </si>
  <si>
    <t xml:space="preserve">Форс-мажор</t>
  </si>
  <si>
    <t xml:space="preserve">Зовнішні обставини, недоступність ключових людей</t>
  </si>
  <si>
    <t xml:space="preserve">3</t>
  </si>
  <si>
    <t xml:space="preserve">Організаційні</t>
  </si>
  <si>
    <t xml:space="preserve">Ризики ресурсів, фінансування, пріоритетів</t>
  </si>
  <si>
    <t xml:space="preserve">3.1</t>
  </si>
  <si>
    <t xml:space="preserve">Ресурси / компетенції</t>
  </si>
  <si>
    <t xml:space="preserve">Брак часу внутрішньої команди; вузькі компетенції</t>
  </si>
  <si>
    <t xml:space="preserve">3.2</t>
  </si>
  <si>
    <t xml:space="preserve">Фінансування / бюджет</t>
  </si>
  <si>
    <t xml:space="preserve">Незатверджений бюджет; Гейт1 (~17.08); бюджет Jarvis як умова старту Ф0</t>
  </si>
  <si>
    <t xml:space="preserve">3.3</t>
  </si>
  <si>
    <t xml:space="preserve">Пріоритети / залежності</t>
  </si>
  <si>
    <t xml:space="preserve">Залежність Ф3 від оцінки Тиграна; конкуренція за ресурси</t>
  </si>
  <si>
    <t xml:space="preserve">3.4</t>
  </si>
  <si>
    <t xml:space="preserve">Комунікації / стейкхолдери</t>
  </si>
  <si>
    <t xml:space="preserve">Розсинхрон власник↔команди; очікування щодо AS-IS/TO-BE/ТЗ</t>
  </si>
  <si>
    <t xml:space="preserve">4</t>
  </si>
  <si>
    <t xml:space="preserve">Управління проєктом</t>
  </si>
  <si>
    <t xml:space="preserve">Ризики планування, контролю, процесів</t>
  </si>
  <si>
    <t xml:space="preserve">4.1</t>
  </si>
  <si>
    <t xml:space="preserve">Планування / оцінки</t>
  </si>
  <si>
    <t xml:space="preserve">Оптимістичні оцінки Discovery/розробки; тверді лише Ф0–Ф2</t>
  </si>
  <si>
    <t xml:space="preserve">4.2</t>
  </si>
  <si>
    <t xml:space="preserve">Контроль / моніторинг</t>
  </si>
  <si>
    <t xml:space="preserve">Слабкий трекінг статусів, запізніле виявлення відхилень</t>
  </si>
  <si>
    <t xml:space="preserve">4.3</t>
  </si>
  <si>
    <t xml:space="preserve">Процеси / методологія</t>
  </si>
  <si>
    <t xml:space="preserve">Неузгоджена методологія Discovery між командами</t>
  </si>
  <si>
    <t xml:space="preserve">Реєстр ризиків проєкту PILLAR — ідентифікація, оцінка, реагування, моніторинг</t>
  </si>
  <si>
    <t xml:space="preserve">ID</t>
  </si>
  <si>
    <t xml:space="preserve">Дата вияв.</t>
  </si>
  <si>
    <t xml:space="preserve">Категорія RBS</t>
  </si>
  <si>
    <t xml:space="preserve">Опис ризику (причина→подія→наслідок)</t>
  </si>
  <si>
    <t xml:space="preserve">Ймовір. (1-5)</t>
  </si>
  <si>
    <t xml:space="preserve">Вплив (1-5)</t>
  </si>
  <si>
    <t xml:space="preserve">Бал P×I</t>
  </si>
  <si>
    <t xml:space="preserve">Рівень</t>
  </si>
  <si>
    <t xml:space="preserve">Дії з реагування</t>
  </si>
  <si>
    <t xml:space="preserve">Власник</t>
  </si>
  <si>
    <t xml:space="preserve">Тригери / індикатори</t>
  </si>
  <si>
    <t xml:space="preserve">Термін</t>
  </si>
  <si>
    <t xml:space="preserve">Резерв, ₴</t>
  </si>
  <si>
    <t xml:space="preserve">Залишк. ризик</t>
  </si>
  <si>
    <t xml:space="preserve">Коментар / оновлення</t>
  </si>
  <si>
    <t xml:space="preserve">2026-07-20</t>
  </si>
  <si>
    <t xml:space="preserve">Бюджет Jarvis не затверджено вчасно → старт Ф0 (Discovery) зривається → зсув усього roadmap лід→КП</t>
  </si>
  <si>
    <t xml:space="preserve">Пришвидшити погодження бюджету Jarvis до 22.07; ескалація власнику; тримати ФОП-контракт напоготові</t>
  </si>
  <si>
    <t xml:space="preserve">Немає підтвердження оплати до 21.07</t>
  </si>
  <si>
    <t xml:space="preserve">2026-07-22</t>
  </si>
  <si>
    <t xml:space="preserve">Умова старту Ф0</t>
  </si>
  <si>
    <t xml:space="preserve">Оцінка Тиграна затримується → Ф3 (розробка CRM) неможливо запланувати → невизначеність дат після Гейта1</t>
  </si>
  <si>
    <t xml:space="preserve">Отримати попередню оцінку до 01.08 (після Quick Calculator v1); зафіксувати припущення в плані</t>
  </si>
  <si>
    <t xml:space="preserve">Немає оцінки до Гейта1 (17.08)</t>
  </si>
  <si>
    <t xml:space="preserve">2026-08-17</t>
  </si>
  <si>
    <t xml:space="preserve">Ф3–Ф4 залежні</t>
  </si>
  <si>
    <t xml:space="preserve">Дані процесів «як є» неповні/суперечливі → ТЗ на CPQ будується на хибних припущеннях → переробки</t>
  </si>
  <si>
    <t xml:space="preserve">Discovery з носіями процесів; верифікація «як є» з менеджерами перед синтезом ТЗ</t>
  </si>
  <si>
    <t xml:space="preserve">Розбіжності у Discovery-інтерв'ю</t>
  </si>
  <si>
    <t xml:space="preserve">2026-08-07</t>
  </si>
  <si>
    <t xml:space="preserve">Розширення скоупу за межі лід→КП → «автоматизація хаосу» → зрив принципу step-by-step</t>
  </si>
  <si>
    <t xml:space="preserve">Жорстко тримати скоуп першого блоку (лід→КП); решту — у backlog після пілоту</t>
  </si>
  <si>
    <t xml:space="preserve">Запити «додати ще модуль» до пілоту</t>
  </si>
  <si>
    <t xml:space="preserve">поточно</t>
  </si>
  <si>
    <t xml:space="preserve">Принцип: не автоматизуємо хаос</t>
  </si>
  <si>
    <t xml:space="preserve">Quick Calculator v1 (01.08) вдалий → швидкий приклад цінності → легше затвердити бюджет масштабу</t>
  </si>
  <si>
    <t xml:space="preserve">Підготувати демо-вимір результату v1 для Гейта1; показати власнику й кер. ЗЕД</t>
  </si>
  <si>
    <t xml:space="preserve">Успішний пілот v1</t>
  </si>
  <si>
    <t xml:space="preserve">Позитивний ризик</t>
  </si>
  <si>
    <t xml:space="preserve">РАЗОМ</t>
  </si>
  <si>
    <t xml:space="preserve">Матриця ймовірність × вплив (теплова карта рівнів ризику)</t>
  </si>
  <si>
    <t xml:space="preserve">Ймовірність ↓ / Вплив →</t>
  </si>
  <si>
    <t xml:space="preserve">Пороги:</t>
  </si>
  <si>
    <t xml:space="preserve">Критичний 15–25</t>
  </si>
  <si>
    <t xml:space="preserve">Високий 10–14</t>
  </si>
  <si>
    <t xml:space="preserve">Середній 5–9</t>
  </si>
  <si>
    <t xml:space="preserve">Низький 1–4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</si>
</sst>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₴&quot;;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11"/>
      <color rgb="FFE2683C"/>
      <name val="Arial"/>
      <family val="0"/>
      <charset val="1"/>
    </font>
    <font>
      <b val="true"/>
      <sz val="10"/>
      <color rgb="FF16233A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623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b val="true"/>
      <sz val="9"/>
      <color rgb="FF16233A"/>
      <name val="Arial"/>
      <family val="0"/>
      <charset val="1"/>
    </font>
    <font>
      <sz val="10"/>
      <name val="Arial"/>
      <family val="2"/>
    </font>
    <font>
      <b val="true"/>
      <sz val="11"/>
      <color rgb="FF1A23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A233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233A"/>
        <bgColor rgb="FF1A2332"/>
      </patternFill>
    </fill>
    <fill>
      <patternFill patternType="solid">
        <fgColor rgb="FFF4F6F9"/>
        <bgColor rgb="FFFFFFFF"/>
      </patternFill>
    </fill>
    <fill>
      <patternFill patternType="solid">
        <fgColor rgb="FFD93025"/>
        <bgColor rgb="FF993366"/>
      </patternFill>
    </fill>
    <fill>
      <patternFill patternType="solid">
        <fgColor rgb="FFE8873C"/>
        <bgColor rgb="FFE2683C"/>
      </patternFill>
    </fill>
    <fill>
      <patternFill patternType="solid">
        <fgColor rgb="FFF2C744"/>
        <bgColor rgb="FFFFCC99"/>
      </patternFill>
    </fill>
    <fill>
      <patternFill patternType="solid">
        <fgColor rgb="FF3E9C6B"/>
        <bgColor rgb="FF008080"/>
      </patternFill>
    </fill>
    <fill>
      <patternFill patternType="solid">
        <fgColor rgb="FFFFF3CD"/>
        <bgColor rgb="FFF4F6F9"/>
      </patternFill>
    </fill>
    <fill>
      <patternFill patternType="solid">
        <fgColor rgb="FFE2683C"/>
        <bgColor rgb="FFE8873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D93025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8873C"/>
        </patternFill>
      </fill>
    </dxf>
    <dxf>
      <font>
        <name val="Arial"/>
        <charset val="1"/>
        <family val="0"/>
        <b val="1"/>
        <color rgb="FF1A2332"/>
      </font>
      <fill>
        <patternFill>
          <bgColor rgb="FFF2C74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3E9C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4F6F9"/>
      <rgbColor rgb="FF660066"/>
      <rgbColor rgb="FFE8873C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2C744"/>
      <rgbColor rgb="FFFF9900"/>
      <rgbColor rgb="FFE2683C"/>
      <rgbColor rgb="FF666699"/>
      <rgbColor rgb="FF8A94A6"/>
      <rgbColor rgb="FF16233A"/>
      <rgbColor rgb="FF3E9C6B"/>
      <rgbColor rgb="FF003300"/>
      <rgbColor rgb="FF333300"/>
      <rgbColor rgb="FFD93025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33.75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2" t="s">
        <v>1</v>
      </c>
      <c r="C3" s="2"/>
    </row>
    <row r="5" customFormat="false" ht="21.75" hidden="false" customHeight="true" outlineLevel="0" collapsed="false">
      <c r="B5" s="3" t="s">
        <v>2</v>
      </c>
      <c r="C5" s="3"/>
    </row>
    <row r="6" customFormat="false" ht="54" hidden="false" customHeight="true" outlineLevel="0" collapsed="false">
      <c r="B6" s="4" t="s">
        <v>3</v>
      </c>
      <c r="C6" s="5" t="s">
        <v>4</v>
      </c>
    </row>
    <row r="7" customFormat="false" ht="54" hidden="false" customHeight="true" outlineLevel="0" collapsed="false">
      <c r="B7" s="4" t="s">
        <v>5</v>
      </c>
      <c r="C7" s="5" t="s">
        <v>6</v>
      </c>
    </row>
    <row r="8" customFormat="false" ht="21.75" hidden="false" customHeight="true" outlineLevel="0" collapsed="false">
      <c r="B8" s="3" t="s">
        <v>7</v>
      </c>
      <c r="C8" s="3"/>
    </row>
    <row r="9" customFormat="false" ht="40.5" hidden="false" customHeight="true" outlineLevel="0" collapsed="false">
      <c r="B9" s="4" t="s">
        <v>8</v>
      </c>
      <c r="C9" s="5" t="s">
        <v>9</v>
      </c>
    </row>
    <row r="10" customFormat="false" ht="40.5" hidden="false" customHeight="true" outlineLevel="0" collapsed="false">
      <c r="B10" s="4" t="s">
        <v>10</v>
      </c>
      <c r="C10" s="5" t="s">
        <v>11</v>
      </c>
    </row>
    <row r="11" customFormat="false" ht="27.75" hidden="false" customHeight="true" outlineLevel="0" collapsed="false">
      <c r="B11" s="4" t="s">
        <v>12</v>
      </c>
      <c r="C11" s="5" t="s">
        <v>13</v>
      </c>
    </row>
    <row r="12" customFormat="false" ht="27.75" hidden="false" customHeight="true" outlineLevel="0" collapsed="false">
      <c r="B12" s="4" t="s">
        <v>14</v>
      </c>
      <c r="C12" s="5" t="s">
        <v>15</v>
      </c>
    </row>
    <row r="13" customFormat="false" ht="21.75" hidden="false" customHeight="true" outlineLevel="0" collapsed="false">
      <c r="B13" s="3" t="s">
        <v>16</v>
      </c>
      <c r="C13" s="3"/>
    </row>
    <row r="14" customFormat="false" ht="40.5" hidden="false" customHeight="true" outlineLevel="0" collapsed="false">
      <c r="B14" s="4" t="s">
        <v>17</v>
      </c>
      <c r="C14" s="5" t="s">
        <v>18</v>
      </c>
    </row>
    <row r="15" customFormat="false" ht="40.5" hidden="false" customHeight="true" outlineLevel="0" collapsed="false">
      <c r="B15" s="4" t="s">
        <v>19</v>
      </c>
      <c r="C15" s="5" t="s">
        <v>20</v>
      </c>
    </row>
    <row r="16" customFormat="false" ht="40.5" hidden="false" customHeight="true" outlineLevel="0" collapsed="false">
      <c r="B16" s="4" t="s">
        <v>21</v>
      </c>
      <c r="C16" s="5" t="s">
        <v>22</v>
      </c>
    </row>
    <row r="17" customFormat="false" ht="40.5" hidden="false" customHeight="true" outlineLevel="0" collapsed="false">
      <c r="B17" s="4" t="s">
        <v>23</v>
      </c>
      <c r="C17" s="5" t="s">
        <v>24</v>
      </c>
    </row>
    <row r="18" customFormat="false" ht="40.5" hidden="false" customHeight="true" outlineLevel="0" collapsed="false">
      <c r="B18" s="4" t="s">
        <v>25</v>
      </c>
      <c r="C18" s="5" t="s">
        <v>26</v>
      </c>
    </row>
    <row r="19" customFormat="false" ht="40.5" hidden="false" customHeight="true" outlineLevel="0" collapsed="false">
      <c r="B19" s="4" t="s">
        <v>27</v>
      </c>
      <c r="C19" s="5" t="s">
        <v>28</v>
      </c>
    </row>
    <row r="21" customFormat="false" ht="15" hidden="false" customHeight="false" outlineLevel="0" collapsed="false">
      <c r="B21" s="3" t="s">
        <v>29</v>
      </c>
      <c r="C21" s="3"/>
    </row>
    <row r="22" customFormat="false" ht="15" hidden="false" customHeight="false" outlineLevel="0" collapsed="false">
      <c r="B22" s="6"/>
      <c r="C22" s="5" t="s">
        <v>30</v>
      </c>
    </row>
    <row r="23" customFormat="false" ht="15" hidden="false" customHeight="false" outlineLevel="0" collapsed="false">
      <c r="B23" s="7"/>
      <c r="C23" s="5" t="s">
        <v>31</v>
      </c>
    </row>
    <row r="24" customFormat="false" ht="15" hidden="false" customHeight="false" outlineLevel="0" collapsed="false">
      <c r="B24" s="8"/>
      <c r="C24" s="5" t="s">
        <v>32</v>
      </c>
    </row>
    <row r="25" customFormat="false" ht="15" hidden="false" customHeight="false" outlineLevel="0" collapsed="false">
      <c r="B25" s="9"/>
      <c r="C25" s="5" t="s">
        <v>33</v>
      </c>
    </row>
    <row r="26" customFormat="false" ht="15" hidden="false" customHeight="false" outlineLevel="0" collapsed="false">
      <c r="B26" s="10"/>
      <c r="C26" s="5" t="s">
        <v>34</v>
      </c>
    </row>
  </sheetData>
  <mergeCells count="6">
    <mergeCell ref="B2:C2"/>
    <mergeCell ref="B3:C3"/>
    <mergeCell ref="B5:C5"/>
    <mergeCell ref="B8:C8"/>
    <mergeCell ref="B13:C13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8"/>
  </cols>
  <sheetData>
    <row r="1" customFormat="false" ht="30" hidden="false" customHeight="true" outlineLevel="0" collapsed="false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41</v>
      </c>
    </row>
    <row r="2" customFormat="false" ht="15" hidden="false" customHeight="false" outlineLevel="0" collapsed="false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  <c r="G2" s="12" t="s">
        <v>48</v>
      </c>
    </row>
    <row r="3" customFormat="false" ht="15" hidden="false" customHeight="false" outlineLevel="0" collapsed="false">
      <c r="A3" s="12" t="s">
        <v>49</v>
      </c>
      <c r="B3" s="12" t="s">
        <v>50</v>
      </c>
      <c r="C3" s="12" t="s">
        <v>51</v>
      </c>
      <c r="D3" s="12" t="s">
        <v>52</v>
      </c>
      <c r="E3" s="12" t="s">
        <v>53</v>
      </c>
      <c r="F3" s="12" t="s">
        <v>54</v>
      </c>
      <c r="G3" s="12" t="s">
        <v>55</v>
      </c>
    </row>
    <row r="4" customFormat="false" ht="15" hidden="false" customHeight="false" outlineLevel="0" collapsed="false">
      <c r="A4" s="12" t="s">
        <v>56</v>
      </c>
      <c r="B4" s="12" t="s">
        <v>57</v>
      </c>
      <c r="C4" s="12" t="s">
        <v>58</v>
      </c>
      <c r="D4" s="12" t="s">
        <v>59</v>
      </c>
      <c r="E4" s="12" t="s">
        <v>60</v>
      </c>
      <c r="F4" s="12" t="s">
        <v>61</v>
      </c>
    </row>
    <row r="5" customFormat="false" ht="15" hidden="false" customHeight="false" outlineLevel="0" collapsed="false">
      <c r="A5" s="12" t="s">
        <v>62</v>
      </c>
      <c r="B5" s="12" t="s">
        <v>63</v>
      </c>
      <c r="C5" s="12" t="s">
        <v>64</v>
      </c>
      <c r="D5" s="12" t="s">
        <v>65</v>
      </c>
      <c r="E5" s="12" t="s">
        <v>66</v>
      </c>
      <c r="F5" s="12" t="s">
        <v>67</v>
      </c>
    </row>
    <row r="6" customFormat="false" ht="23.85" hidden="false" customHeight="false" outlineLevel="0" collapsed="false">
      <c r="A6" s="12" t="s">
        <v>68</v>
      </c>
      <c r="B6" s="12" t="s">
        <v>69</v>
      </c>
      <c r="C6" s="12" t="s">
        <v>70</v>
      </c>
      <c r="D6" s="12" t="s">
        <v>71</v>
      </c>
      <c r="E6" s="12" t="s">
        <v>72</v>
      </c>
      <c r="F6" s="12" t="s">
        <v>73</v>
      </c>
    </row>
    <row r="7" customFormat="false" ht="15" hidden="false" customHeight="false" outlineLevel="0" collapsed="false">
      <c r="A7" s="12" t="s">
        <v>74</v>
      </c>
      <c r="D7" s="12" t="s">
        <v>75</v>
      </c>
      <c r="E7" s="12" t="s">
        <v>76</v>
      </c>
      <c r="F7" s="12" t="s">
        <v>77</v>
      </c>
    </row>
    <row r="8" customFormat="false" ht="23.85" hidden="false" customHeight="false" outlineLevel="0" collapsed="false">
      <c r="A8" s="12" t="s">
        <v>78</v>
      </c>
      <c r="D8" s="12" t="s">
        <v>79</v>
      </c>
      <c r="F8" s="12" t="s">
        <v>80</v>
      </c>
    </row>
    <row r="9" customFormat="false" ht="15" hidden="false" customHeight="false" outlineLevel="0" collapsed="false">
      <c r="A9" s="12" t="s">
        <v>81</v>
      </c>
      <c r="D9" s="12" t="s">
        <v>82</v>
      </c>
    </row>
    <row r="10" customFormat="false" ht="15" hidden="false" customHeight="false" outlineLevel="0" collapsed="false">
      <c r="A10" s="12" t="s">
        <v>83</v>
      </c>
    </row>
    <row r="11" customFormat="false" ht="15" hidden="false" customHeight="false" outlineLevel="0" collapsed="false">
      <c r="A11" s="12" t="s">
        <v>84</v>
      </c>
    </row>
    <row r="12" customFormat="false" ht="15" hidden="false" customHeight="false" outlineLevel="0" collapsed="false">
      <c r="A12" s="12" t="s">
        <v>85</v>
      </c>
    </row>
    <row r="13" customFormat="false" ht="15" hidden="false" customHeight="false" outlineLevel="0" collapsed="false">
      <c r="A13" s="12" t="s">
        <v>86</v>
      </c>
    </row>
    <row r="14" customFormat="false" ht="15" hidden="false" customHeight="false" outlineLevel="0" collapsed="false">
      <c r="A14" s="12" t="s">
        <v>87</v>
      </c>
    </row>
    <row r="15" customFormat="false" ht="15" hidden="false" customHeight="false" outlineLevel="0" collapsed="false">
      <c r="A15" s="12" t="s">
        <v>88</v>
      </c>
    </row>
    <row r="16" customFormat="false" ht="15" hidden="false" customHeight="false" outlineLevel="0" collapsed="false">
      <c r="A16" s="12" t="s">
        <v>89</v>
      </c>
    </row>
    <row r="17" customFormat="false" ht="15" hidden="false" customHeight="false" outlineLevel="0" collapsed="false">
      <c r="A17" s="12" t="s">
        <v>90</v>
      </c>
    </row>
    <row r="18" customFormat="false" ht="15" hidden="false" customHeight="false" outlineLevel="0" collapsed="false">
      <c r="A18" s="12" t="s">
        <v>91</v>
      </c>
    </row>
    <row r="19" customFormat="false" ht="15" hidden="false" customHeight="false" outlineLevel="0" collapsed="false">
      <c r="A19" s="12" t="s">
        <v>92</v>
      </c>
    </row>
    <row r="20" customFormat="false" ht="15" hidden="false" customHeight="false" outlineLevel="0" collapsed="false">
      <c r="A20" s="1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66"/>
  </cols>
  <sheetData>
    <row r="1" customFormat="false" ht="30" hidden="false" customHeight="true" outlineLevel="0" collapsed="false">
      <c r="A1" s="13" t="s">
        <v>94</v>
      </c>
      <c r="B1" s="13"/>
      <c r="C1" s="13"/>
    </row>
    <row r="2" customFormat="false" ht="25.5" hidden="false" customHeight="true" outlineLevel="0" collapsed="false">
      <c r="A2" s="14" t="s">
        <v>95</v>
      </c>
      <c r="B2" s="14" t="s">
        <v>96</v>
      </c>
      <c r="C2" s="14" t="s">
        <v>97</v>
      </c>
    </row>
    <row r="3" customFormat="false" ht="24" hidden="false" customHeight="true" outlineLevel="0" collapsed="false">
      <c r="A3" s="15" t="s">
        <v>98</v>
      </c>
      <c r="B3" s="15" t="s">
        <v>99</v>
      </c>
      <c r="C3" s="16" t="s">
        <v>100</v>
      </c>
    </row>
    <row r="4" customFormat="false" ht="24" hidden="false" customHeight="true" outlineLevel="0" collapsed="false">
      <c r="A4" s="17" t="s">
        <v>101</v>
      </c>
      <c r="B4" s="18" t="s">
        <v>102</v>
      </c>
      <c r="C4" s="19" t="s">
        <v>103</v>
      </c>
    </row>
    <row r="5" customFormat="false" ht="24" hidden="false" customHeight="true" outlineLevel="0" collapsed="false">
      <c r="A5" s="17" t="s">
        <v>104</v>
      </c>
      <c r="B5" s="18" t="s">
        <v>105</v>
      </c>
      <c r="C5" s="19" t="s">
        <v>106</v>
      </c>
    </row>
    <row r="6" customFormat="false" ht="24" hidden="false" customHeight="true" outlineLevel="0" collapsed="false">
      <c r="A6" s="17" t="s">
        <v>107</v>
      </c>
      <c r="B6" s="18" t="s">
        <v>108</v>
      </c>
      <c r="C6" s="19" t="s">
        <v>109</v>
      </c>
    </row>
    <row r="7" customFormat="false" ht="24" hidden="false" customHeight="true" outlineLevel="0" collapsed="false">
      <c r="A7" s="17" t="s">
        <v>110</v>
      </c>
      <c r="B7" s="18" t="s">
        <v>111</v>
      </c>
      <c r="C7" s="19" t="s">
        <v>112</v>
      </c>
    </row>
    <row r="8" customFormat="false" ht="24" hidden="false" customHeight="true" outlineLevel="0" collapsed="false">
      <c r="A8" s="15" t="s">
        <v>113</v>
      </c>
      <c r="B8" s="15" t="s">
        <v>114</v>
      </c>
      <c r="C8" s="16" t="s">
        <v>115</v>
      </c>
    </row>
    <row r="9" customFormat="false" ht="24" hidden="false" customHeight="true" outlineLevel="0" collapsed="false">
      <c r="A9" s="17" t="s">
        <v>116</v>
      </c>
      <c r="B9" s="18" t="s">
        <v>117</v>
      </c>
      <c r="C9" s="19" t="s">
        <v>118</v>
      </c>
    </row>
    <row r="10" customFormat="false" ht="24" hidden="false" customHeight="true" outlineLevel="0" collapsed="false">
      <c r="A10" s="17" t="s">
        <v>119</v>
      </c>
      <c r="B10" s="18" t="s">
        <v>120</v>
      </c>
      <c r="C10" s="19" t="s">
        <v>121</v>
      </c>
    </row>
    <row r="11" customFormat="false" ht="24" hidden="false" customHeight="true" outlineLevel="0" collapsed="false">
      <c r="A11" s="17" t="s">
        <v>122</v>
      </c>
      <c r="B11" s="18" t="s">
        <v>123</v>
      </c>
      <c r="C11" s="19" t="s">
        <v>124</v>
      </c>
    </row>
    <row r="12" customFormat="false" ht="24" hidden="false" customHeight="true" outlineLevel="0" collapsed="false">
      <c r="A12" s="17" t="s">
        <v>125</v>
      </c>
      <c r="B12" s="18" t="s">
        <v>126</v>
      </c>
      <c r="C12" s="19" t="s">
        <v>127</v>
      </c>
    </row>
    <row r="13" customFormat="false" ht="24" hidden="false" customHeight="true" outlineLevel="0" collapsed="false">
      <c r="A13" s="15" t="s">
        <v>128</v>
      </c>
      <c r="B13" s="15" t="s">
        <v>129</v>
      </c>
      <c r="C13" s="16" t="s">
        <v>130</v>
      </c>
    </row>
    <row r="14" customFormat="false" ht="24" hidden="false" customHeight="true" outlineLevel="0" collapsed="false">
      <c r="A14" s="17" t="s">
        <v>131</v>
      </c>
      <c r="B14" s="18" t="s">
        <v>132</v>
      </c>
      <c r="C14" s="19" t="s">
        <v>133</v>
      </c>
    </row>
    <row r="15" customFormat="false" ht="24" hidden="false" customHeight="true" outlineLevel="0" collapsed="false">
      <c r="A15" s="17" t="s">
        <v>134</v>
      </c>
      <c r="B15" s="18" t="s">
        <v>135</v>
      </c>
      <c r="C15" s="19" t="s">
        <v>136</v>
      </c>
    </row>
    <row r="16" customFormat="false" ht="24" hidden="false" customHeight="true" outlineLevel="0" collapsed="false">
      <c r="A16" s="17" t="s">
        <v>137</v>
      </c>
      <c r="B16" s="18" t="s">
        <v>138</v>
      </c>
      <c r="C16" s="19" t="s">
        <v>139</v>
      </c>
    </row>
    <row r="17" customFormat="false" ht="24" hidden="false" customHeight="true" outlineLevel="0" collapsed="false">
      <c r="A17" s="17" t="s">
        <v>140</v>
      </c>
      <c r="B17" s="18" t="s">
        <v>141</v>
      </c>
      <c r="C17" s="19" t="s">
        <v>142</v>
      </c>
    </row>
    <row r="18" customFormat="false" ht="24" hidden="false" customHeight="true" outlineLevel="0" collapsed="false">
      <c r="A18" s="15" t="s">
        <v>143</v>
      </c>
      <c r="B18" s="15" t="s">
        <v>144</v>
      </c>
      <c r="C18" s="16" t="s">
        <v>145</v>
      </c>
    </row>
    <row r="19" customFormat="false" ht="24" hidden="false" customHeight="true" outlineLevel="0" collapsed="false">
      <c r="A19" s="17" t="s">
        <v>146</v>
      </c>
      <c r="B19" s="18" t="s">
        <v>147</v>
      </c>
      <c r="C19" s="19" t="s">
        <v>148</v>
      </c>
    </row>
    <row r="20" customFormat="false" ht="24" hidden="false" customHeight="true" outlineLevel="0" collapsed="false">
      <c r="A20" s="17" t="s">
        <v>149</v>
      </c>
      <c r="B20" s="18" t="s">
        <v>150</v>
      </c>
      <c r="C20" s="19" t="s">
        <v>151</v>
      </c>
    </row>
    <row r="21" customFormat="false" ht="24" hidden="false" customHeight="true" outlineLevel="0" collapsed="false">
      <c r="A21" s="17" t="s">
        <v>152</v>
      </c>
      <c r="B21" s="18" t="s">
        <v>153</v>
      </c>
      <c r="C21" s="19" t="s">
        <v>154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28"/>
  </cols>
  <sheetData>
    <row r="1" customFormat="false" ht="30" hidden="false" customHeight="true" outlineLevel="0" collapsed="false">
      <c r="A1" s="13" t="s">
        <v>155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customFormat="false" ht="39.75" hidden="false" customHeight="true" outlineLevel="0" collapsed="false">
      <c r="A2" s="20" t="s">
        <v>156</v>
      </c>
      <c r="B2" s="20" t="s">
        <v>157</v>
      </c>
      <c r="C2" s="20" t="s">
        <v>158</v>
      </c>
      <c r="D2" s="20" t="s">
        <v>41</v>
      </c>
      <c r="E2" s="20" t="s">
        <v>159</v>
      </c>
      <c r="F2" s="20" t="s">
        <v>160</v>
      </c>
      <c r="G2" s="20" t="s">
        <v>161</v>
      </c>
      <c r="H2" s="20" t="s">
        <v>162</v>
      </c>
      <c r="I2" s="20" t="s">
        <v>163</v>
      </c>
      <c r="J2" s="20" t="s">
        <v>23</v>
      </c>
      <c r="K2" s="20" t="s">
        <v>164</v>
      </c>
      <c r="L2" s="20" t="s">
        <v>165</v>
      </c>
      <c r="M2" s="20" t="s">
        <v>166</v>
      </c>
      <c r="N2" s="20" t="s">
        <v>167</v>
      </c>
      <c r="O2" s="20" t="s">
        <v>168</v>
      </c>
      <c r="P2" s="20" t="s">
        <v>169</v>
      </c>
      <c r="Q2" s="20" t="s">
        <v>39</v>
      </c>
      <c r="R2" s="20" t="s">
        <v>170</v>
      </c>
    </row>
    <row r="3" customFormat="false" ht="42" hidden="false" customHeight="true" outlineLevel="0" collapsed="false">
      <c r="A3" s="21" t="n">
        <v>1</v>
      </c>
      <c r="B3" s="22" t="s">
        <v>171</v>
      </c>
      <c r="C3" s="22" t="s">
        <v>87</v>
      </c>
      <c r="D3" s="22" t="s">
        <v>48</v>
      </c>
      <c r="E3" s="22" t="s">
        <v>172</v>
      </c>
      <c r="F3" s="22" t="n">
        <v>4</v>
      </c>
      <c r="G3" s="22" t="n">
        <v>4</v>
      </c>
      <c r="H3" s="23" t="n">
        <f aca="false">IF(OR(N(F3)=0,N(G3)=0),"",LEFT(F3,1)*LEFT(G3,1))</f>
        <v>16</v>
      </c>
      <c r="I3" s="23" t="str">
        <f aca="false">IF(H3="","",IF(H3&gt;=15,"Критичний",IF(H3&gt;=10,"Високий",IF(H3&gt;=5,"Середній","Низький"))))</f>
        <v>Критичний</v>
      </c>
      <c r="J3" s="22" t="s">
        <v>52</v>
      </c>
      <c r="K3" s="22" t="s">
        <v>173</v>
      </c>
      <c r="L3" s="22" t="s">
        <v>47</v>
      </c>
      <c r="M3" s="22" t="s">
        <v>174</v>
      </c>
      <c r="N3" s="22" t="s">
        <v>175</v>
      </c>
      <c r="O3" s="24" t="n">
        <v>50000</v>
      </c>
      <c r="P3" s="22"/>
      <c r="Q3" s="22" t="s">
        <v>53</v>
      </c>
      <c r="R3" s="22" t="s">
        <v>176</v>
      </c>
    </row>
    <row r="4" customFormat="false" ht="42" hidden="false" customHeight="true" outlineLevel="0" collapsed="false">
      <c r="A4" s="21" t="n">
        <v>2</v>
      </c>
      <c r="B4" s="22" t="s">
        <v>171</v>
      </c>
      <c r="C4" s="22" t="s">
        <v>88</v>
      </c>
      <c r="D4" s="22" t="s">
        <v>48</v>
      </c>
      <c r="E4" s="22" t="s">
        <v>177</v>
      </c>
      <c r="F4" s="22" t="n">
        <v>3</v>
      </c>
      <c r="G4" s="22" t="n">
        <v>4</v>
      </c>
      <c r="H4" s="23" t="n">
        <f aca="false">IF(OR(N(F4)=0,N(G4)=0),"",LEFT(F4,1)*LEFT(G4,1))</f>
        <v>12</v>
      </c>
      <c r="I4" s="23" t="str">
        <f aca="false">IF(H4="","",IF(H4&gt;=15,"Критичний",IF(H4&gt;=10,"Високий",IF(H4&gt;=5,"Середній","Низький"))))</f>
        <v>Високий</v>
      </c>
      <c r="J4" s="22" t="s">
        <v>52</v>
      </c>
      <c r="K4" s="22" t="s">
        <v>178</v>
      </c>
      <c r="L4" s="22" t="s">
        <v>67</v>
      </c>
      <c r="M4" s="22" t="s">
        <v>179</v>
      </c>
      <c r="N4" s="22" t="s">
        <v>180</v>
      </c>
      <c r="O4" s="24"/>
      <c r="P4" s="22"/>
      <c r="Q4" s="22" t="s">
        <v>46</v>
      </c>
      <c r="R4" s="22" t="s">
        <v>181</v>
      </c>
    </row>
    <row r="5" customFormat="false" ht="42" hidden="false" customHeight="true" outlineLevel="0" collapsed="false">
      <c r="A5" s="21" t="n">
        <v>3</v>
      </c>
      <c r="B5" s="22" t="s">
        <v>171</v>
      </c>
      <c r="C5" s="22" t="s">
        <v>62</v>
      </c>
      <c r="D5" s="22" t="s">
        <v>48</v>
      </c>
      <c r="E5" s="22" t="s">
        <v>182</v>
      </c>
      <c r="F5" s="22" t="n">
        <v>3</v>
      </c>
      <c r="G5" s="22" t="n">
        <v>3</v>
      </c>
      <c r="H5" s="23" t="n">
        <f aca="false">IF(OR(N(F5)=0,N(G5)=0),"",LEFT(F5,1)*LEFT(G5,1))</f>
        <v>9</v>
      </c>
      <c r="I5" s="23" t="str">
        <f aca="false">IF(H5="","",IF(H5&gt;=15,"Критичний",IF(H5&gt;=10,"Високий",IF(H5&gt;=5,"Середній","Низький"))))</f>
        <v>Середній</v>
      </c>
      <c r="J5" s="22" t="s">
        <v>52</v>
      </c>
      <c r="K5" s="22" t="s">
        <v>183</v>
      </c>
      <c r="L5" s="22" t="s">
        <v>73</v>
      </c>
      <c r="M5" s="22" t="s">
        <v>184</v>
      </c>
      <c r="N5" s="22" t="s">
        <v>185</v>
      </c>
      <c r="O5" s="24"/>
      <c r="P5" s="22"/>
      <c r="Q5" s="22" t="s">
        <v>46</v>
      </c>
      <c r="R5" s="22"/>
    </row>
    <row r="6" customFormat="false" ht="42" hidden="false" customHeight="true" outlineLevel="0" collapsed="false">
      <c r="A6" s="21" t="n">
        <v>4</v>
      </c>
      <c r="B6" s="22" t="s">
        <v>171</v>
      </c>
      <c r="C6" s="22" t="s">
        <v>49</v>
      </c>
      <c r="D6" s="22" t="s">
        <v>48</v>
      </c>
      <c r="E6" s="22" t="s">
        <v>186</v>
      </c>
      <c r="F6" s="22" t="n">
        <v>3</v>
      </c>
      <c r="G6" s="22" t="n">
        <v>4</v>
      </c>
      <c r="H6" s="23" t="n">
        <f aca="false">IF(OR(N(F6)=0,N(G6)=0),"",LEFT(F6,1)*LEFT(G6,1))</f>
        <v>12</v>
      </c>
      <c r="I6" s="23" t="str">
        <f aca="false">IF(H6="","",IF(H6&gt;=15,"Критичний",IF(H6&gt;=10,"Високий",IF(H6&gt;=5,"Середній","Низький"))))</f>
        <v>Високий</v>
      </c>
      <c r="J6" s="22" t="s">
        <v>45</v>
      </c>
      <c r="K6" s="22" t="s">
        <v>187</v>
      </c>
      <c r="L6" s="22" t="s">
        <v>47</v>
      </c>
      <c r="M6" s="22" t="s">
        <v>188</v>
      </c>
      <c r="N6" s="22" t="s">
        <v>189</v>
      </c>
      <c r="O6" s="24"/>
      <c r="P6" s="22"/>
      <c r="Q6" s="22" t="s">
        <v>53</v>
      </c>
      <c r="R6" s="22" t="s">
        <v>190</v>
      </c>
    </row>
    <row r="7" customFormat="false" ht="42" hidden="false" customHeight="true" outlineLevel="0" collapsed="false">
      <c r="A7" s="21" t="n">
        <v>5</v>
      </c>
      <c r="B7" s="22" t="s">
        <v>171</v>
      </c>
      <c r="C7" s="22" t="s">
        <v>88</v>
      </c>
      <c r="D7" s="22" t="s">
        <v>55</v>
      </c>
      <c r="E7" s="22" t="s">
        <v>191</v>
      </c>
      <c r="F7" s="22" t="n">
        <v>3</v>
      </c>
      <c r="G7" s="22" t="n">
        <v>3</v>
      </c>
      <c r="H7" s="23" t="n">
        <f aca="false">IF(OR(N(F7)=0,N(G7)=0),"",LEFT(F7,1)*LEFT(G7,1))</f>
        <v>9</v>
      </c>
      <c r="I7" s="23" t="str">
        <f aca="false">IF(H7="","",IF(H7&gt;=15,"Критичний",IF(H7&gt;=10,"Високий",IF(H7&gt;=5,"Середній","Низький"))))</f>
        <v>Середній</v>
      </c>
      <c r="J7" s="22" t="s">
        <v>75</v>
      </c>
      <c r="K7" s="22" t="s">
        <v>192</v>
      </c>
      <c r="L7" s="22" t="s">
        <v>61</v>
      </c>
      <c r="M7" s="22" t="s">
        <v>193</v>
      </c>
      <c r="N7" s="22" t="s">
        <v>180</v>
      </c>
      <c r="O7" s="24"/>
      <c r="P7" s="22"/>
      <c r="Q7" s="22" t="s">
        <v>46</v>
      </c>
      <c r="R7" s="22" t="s">
        <v>194</v>
      </c>
    </row>
    <row r="8" customFormat="false" ht="42" hidden="false" customHeight="true" outlineLevel="0" collapsed="false">
      <c r="A8" s="21"/>
      <c r="B8" s="22"/>
      <c r="C8" s="22"/>
      <c r="D8" s="22"/>
      <c r="E8" s="22"/>
      <c r="F8" s="22"/>
      <c r="G8" s="22"/>
      <c r="H8" s="23" t="str">
        <f aca="false">IF(OR(N(F8)=0,N(G8)=0),"",LEFT(F8,1)*LEFT(G8,1))</f>
        <v/>
      </c>
      <c r="I8" s="23" t="str">
        <f aca="false">IF(H8="","",IF(H8&gt;=15,"Критичний",IF(H8&gt;=10,"Високий",IF(H8&gt;=5,"Середній","Низький"))))</f>
        <v/>
      </c>
      <c r="J8" s="22"/>
      <c r="K8" s="22"/>
      <c r="L8" s="22"/>
      <c r="M8" s="22"/>
      <c r="N8" s="22"/>
      <c r="O8" s="24"/>
      <c r="P8" s="22"/>
      <c r="Q8" s="22"/>
      <c r="R8" s="22"/>
    </row>
    <row r="9" customFormat="false" ht="42" hidden="false" customHeight="true" outlineLevel="0" collapsed="false">
      <c r="A9" s="21"/>
      <c r="B9" s="22"/>
      <c r="C9" s="22"/>
      <c r="D9" s="22"/>
      <c r="E9" s="22"/>
      <c r="F9" s="22"/>
      <c r="G9" s="22"/>
      <c r="H9" s="23" t="str">
        <f aca="false">IF(OR(N(F9)=0,N(G9)=0),"",LEFT(F9,1)*LEFT(G9,1))</f>
        <v/>
      </c>
      <c r="I9" s="23" t="str">
        <f aca="false">IF(H9="","",IF(H9&gt;=15,"Критичний",IF(H9&gt;=10,"Високий",IF(H9&gt;=5,"Середній","Низький"))))</f>
        <v/>
      </c>
      <c r="J9" s="22"/>
      <c r="K9" s="22"/>
      <c r="L9" s="22"/>
      <c r="M9" s="22"/>
      <c r="N9" s="22"/>
      <c r="O9" s="24"/>
      <c r="P9" s="22"/>
      <c r="Q9" s="22"/>
      <c r="R9" s="22"/>
    </row>
    <row r="10" customFormat="false" ht="42" hidden="false" customHeight="true" outlineLevel="0" collapsed="false">
      <c r="A10" s="21"/>
      <c r="B10" s="22"/>
      <c r="C10" s="22"/>
      <c r="D10" s="22"/>
      <c r="E10" s="22"/>
      <c r="F10" s="22"/>
      <c r="G10" s="22"/>
      <c r="H10" s="23" t="str">
        <f aca="false">IF(OR(N(F10)=0,N(G10)=0),"",LEFT(F10,1)*LEFT(G10,1))</f>
        <v/>
      </c>
      <c r="I10" s="23" t="str">
        <f aca="false">IF(H10="","",IF(H10&gt;=15,"Критичний",IF(H10&gt;=10,"Високий",IF(H10&gt;=5,"Середній","Низький"))))</f>
        <v/>
      </c>
      <c r="J10" s="22"/>
      <c r="K10" s="22"/>
      <c r="L10" s="22"/>
      <c r="M10" s="22"/>
      <c r="N10" s="22"/>
      <c r="O10" s="24"/>
      <c r="P10" s="22"/>
      <c r="Q10" s="22"/>
      <c r="R10" s="22"/>
    </row>
    <row r="11" customFormat="false" ht="42" hidden="false" customHeight="true" outlineLevel="0" collapsed="false">
      <c r="A11" s="21"/>
      <c r="B11" s="22"/>
      <c r="C11" s="22"/>
      <c r="D11" s="22"/>
      <c r="E11" s="22"/>
      <c r="F11" s="22"/>
      <c r="G11" s="22"/>
      <c r="H11" s="23" t="str">
        <f aca="false">IF(OR(N(F11)=0,N(G11)=0),"",LEFT(F11,1)*LEFT(G11,1))</f>
        <v/>
      </c>
      <c r="I11" s="23" t="str">
        <f aca="false">IF(H11="","",IF(H11&gt;=15,"Критичний",IF(H11&gt;=10,"Високий",IF(H11&gt;=5,"Середній","Низький"))))</f>
        <v/>
      </c>
      <c r="J11" s="22"/>
      <c r="K11" s="22"/>
      <c r="L11" s="22"/>
      <c r="M11" s="22"/>
      <c r="N11" s="22"/>
      <c r="O11" s="24"/>
      <c r="P11" s="22"/>
      <c r="Q11" s="22"/>
      <c r="R11" s="22"/>
    </row>
    <row r="12" customFormat="false" ht="42" hidden="false" customHeight="true" outlineLevel="0" collapsed="false">
      <c r="A12" s="21"/>
      <c r="B12" s="22"/>
      <c r="C12" s="22"/>
      <c r="D12" s="22"/>
      <c r="E12" s="22"/>
      <c r="F12" s="22"/>
      <c r="G12" s="22"/>
      <c r="H12" s="23" t="str">
        <f aca="false">IF(OR(N(F12)=0,N(G12)=0),"",LEFT(F12,1)*LEFT(G12,1))</f>
        <v/>
      </c>
      <c r="I12" s="23" t="str">
        <f aca="false">IF(H12="","",IF(H12&gt;=15,"Критичний",IF(H12&gt;=10,"Високий",IF(H12&gt;=5,"Середній","Низький"))))</f>
        <v/>
      </c>
      <c r="J12" s="22"/>
      <c r="K12" s="22"/>
      <c r="L12" s="22"/>
      <c r="M12" s="22"/>
      <c r="N12" s="22"/>
      <c r="O12" s="24"/>
      <c r="P12" s="22"/>
      <c r="Q12" s="22"/>
      <c r="R12" s="22"/>
    </row>
    <row r="13" customFormat="false" ht="42" hidden="false" customHeight="true" outlineLevel="0" collapsed="false">
      <c r="A13" s="21"/>
      <c r="B13" s="22"/>
      <c r="C13" s="22"/>
      <c r="D13" s="22"/>
      <c r="E13" s="22"/>
      <c r="F13" s="22"/>
      <c r="G13" s="22"/>
      <c r="H13" s="23" t="str">
        <f aca="false">IF(OR(N(F13)=0,N(G13)=0),"",LEFT(F13,1)*LEFT(G13,1))</f>
        <v/>
      </c>
      <c r="I13" s="23" t="str">
        <f aca="false">IF(H13="","",IF(H13&gt;=15,"Критичний",IF(H13&gt;=10,"Високий",IF(H13&gt;=5,"Середній","Низький"))))</f>
        <v/>
      </c>
      <c r="J13" s="22"/>
      <c r="K13" s="22"/>
      <c r="L13" s="22"/>
      <c r="M13" s="22"/>
      <c r="N13" s="22"/>
      <c r="O13" s="24"/>
      <c r="P13" s="22"/>
      <c r="Q13" s="22"/>
      <c r="R13" s="22"/>
    </row>
    <row r="14" customFormat="false" ht="42" hidden="false" customHeight="true" outlineLevel="0" collapsed="false">
      <c r="A14" s="21"/>
      <c r="B14" s="22"/>
      <c r="C14" s="22"/>
      <c r="D14" s="22"/>
      <c r="E14" s="22"/>
      <c r="F14" s="22"/>
      <c r="G14" s="22"/>
      <c r="H14" s="23" t="str">
        <f aca="false">IF(OR(N(F14)=0,N(G14)=0),"",LEFT(F14,1)*LEFT(G14,1))</f>
        <v/>
      </c>
      <c r="I14" s="23" t="str">
        <f aca="false">IF(H14="","",IF(H14&gt;=15,"Критичний",IF(H14&gt;=10,"Високий",IF(H14&gt;=5,"Середній","Низький"))))</f>
        <v/>
      </c>
      <c r="J14" s="22"/>
      <c r="K14" s="22"/>
      <c r="L14" s="22"/>
      <c r="M14" s="22"/>
      <c r="N14" s="22"/>
      <c r="O14" s="24"/>
      <c r="P14" s="22"/>
      <c r="Q14" s="22"/>
      <c r="R14" s="22"/>
    </row>
    <row r="15" customFormat="false" ht="42" hidden="false" customHeight="true" outlineLevel="0" collapsed="false">
      <c r="A15" s="21"/>
      <c r="B15" s="22"/>
      <c r="C15" s="22"/>
      <c r="D15" s="22"/>
      <c r="E15" s="22"/>
      <c r="F15" s="22"/>
      <c r="G15" s="22"/>
      <c r="H15" s="23" t="str">
        <f aca="false">IF(OR(N(F15)=0,N(G15)=0),"",LEFT(F15,1)*LEFT(G15,1))</f>
        <v/>
      </c>
      <c r="I15" s="23" t="str">
        <f aca="false">IF(H15="","",IF(H15&gt;=15,"Критичний",IF(H15&gt;=10,"Високий",IF(H15&gt;=5,"Середній","Низький"))))</f>
        <v/>
      </c>
      <c r="J15" s="22"/>
      <c r="K15" s="22"/>
      <c r="L15" s="22"/>
      <c r="M15" s="22"/>
      <c r="N15" s="22"/>
      <c r="O15" s="24"/>
      <c r="P15" s="22"/>
      <c r="Q15" s="22"/>
      <c r="R15" s="22"/>
    </row>
    <row r="16" customFormat="false" ht="42" hidden="false" customHeight="true" outlineLevel="0" collapsed="false">
      <c r="A16" s="21"/>
      <c r="B16" s="22"/>
      <c r="C16" s="22"/>
      <c r="D16" s="22"/>
      <c r="E16" s="22"/>
      <c r="F16" s="22"/>
      <c r="G16" s="22"/>
      <c r="H16" s="23" t="str">
        <f aca="false">IF(OR(N(F16)=0,N(G16)=0),"",LEFT(F16,1)*LEFT(G16,1))</f>
        <v/>
      </c>
      <c r="I16" s="23" t="str">
        <f aca="false">IF(H16="","",IF(H16&gt;=15,"Критичний",IF(H16&gt;=10,"Високий",IF(H16&gt;=5,"Середній","Низький"))))</f>
        <v/>
      </c>
      <c r="J16" s="22"/>
      <c r="K16" s="22"/>
      <c r="L16" s="22"/>
      <c r="M16" s="22"/>
      <c r="N16" s="22"/>
      <c r="O16" s="24"/>
      <c r="P16" s="22"/>
      <c r="Q16" s="22"/>
      <c r="R16" s="22"/>
    </row>
    <row r="17" customFormat="false" ht="42" hidden="false" customHeight="true" outlineLevel="0" collapsed="false">
      <c r="A17" s="21"/>
      <c r="B17" s="22"/>
      <c r="C17" s="22"/>
      <c r="D17" s="22"/>
      <c r="E17" s="22"/>
      <c r="F17" s="22"/>
      <c r="G17" s="22"/>
      <c r="H17" s="23" t="str">
        <f aca="false">IF(OR(N(F17)=0,N(G17)=0),"",LEFT(F17,1)*LEFT(G17,1))</f>
        <v/>
      </c>
      <c r="I17" s="23" t="str">
        <f aca="false">IF(H17="","",IF(H17&gt;=15,"Критичний",IF(H17&gt;=10,"Високий",IF(H17&gt;=5,"Середній","Низький"))))</f>
        <v/>
      </c>
      <c r="J17" s="22"/>
      <c r="K17" s="22"/>
      <c r="L17" s="22"/>
      <c r="M17" s="22"/>
      <c r="N17" s="22"/>
      <c r="O17" s="24"/>
      <c r="P17" s="22"/>
      <c r="Q17" s="22"/>
      <c r="R17" s="22"/>
    </row>
    <row r="18" customFormat="false" ht="42" hidden="false" customHeight="true" outlineLevel="0" collapsed="false">
      <c r="A18" s="21"/>
      <c r="B18" s="22"/>
      <c r="C18" s="22"/>
      <c r="D18" s="22"/>
      <c r="E18" s="22"/>
      <c r="F18" s="22"/>
      <c r="G18" s="22"/>
      <c r="H18" s="23" t="str">
        <f aca="false">IF(OR(N(F18)=0,N(G18)=0),"",LEFT(F18,1)*LEFT(G18,1))</f>
        <v/>
      </c>
      <c r="I18" s="23" t="str">
        <f aca="false">IF(H18="","",IF(H18&gt;=15,"Критичний",IF(H18&gt;=10,"Високий",IF(H18&gt;=5,"Середній","Низький"))))</f>
        <v/>
      </c>
      <c r="J18" s="22"/>
      <c r="K18" s="22"/>
      <c r="L18" s="22"/>
      <c r="M18" s="22"/>
      <c r="N18" s="22"/>
      <c r="O18" s="24"/>
      <c r="P18" s="22"/>
      <c r="Q18" s="22"/>
      <c r="R18" s="22"/>
    </row>
    <row r="19" customFormat="false" ht="42" hidden="false" customHeight="true" outlineLevel="0" collapsed="false">
      <c r="A19" s="21"/>
      <c r="B19" s="22"/>
      <c r="C19" s="22"/>
      <c r="D19" s="22"/>
      <c r="E19" s="22"/>
      <c r="F19" s="22"/>
      <c r="G19" s="22"/>
      <c r="H19" s="23" t="str">
        <f aca="false">IF(OR(N(F19)=0,N(G19)=0),"",LEFT(F19,1)*LEFT(G19,1))</f>
        <v/>
      </c>
      <c r="I19" s="23" t="str">
        <f aca="false">IF(H19="","",IF(H19&gt;=15,"Критичний",IF(H19&gt;=10,"Високий",IF(H19&gt;=5,"Середній","Низький"))))</f>
        <v/>
      </c>
      <c r="J19" s="22"/>
      <c r="K19" s="22"/>
      <c r="L19" s="22"/>
      <c r="M19" s="22"/>
      <c r="N19" s="22"/>
      <c r="O19" s="24"/>
      <c r="P19" s="22"/>
      <c r="Q19" s="22"/>
      <c r="R19" s="22"/>
    </row>
    <row r="20" customFormat="false" ht="42" hidden="false" customHeight="true" outlineLevel="0" collapsed="false">
      <c r="A20" s="21"/>
      <c r="B20" s="22"/>
      <c r="C20" s="22"/>
      <c r="D20" s="22"/>
      <c r="E20" s="22"/>
      <c r="F20" s="22"/>
      <c r="G20" s="22"/>
      <c r="H20" s="23" t="str">
        <f aca="false">IF(OR(N(F20)=0,N(G20)=0),"",LEFT(F20,1)*LEFT(G20,1))</f>
        <v/>
      </c>
      <c r="I20" s="23" t="str">
        <f aca="false">IF(H20="","",IF(H20&gt;=15,"Критичний",IF(H20&gt;=10,"Високий",IF(H20&gt;=5,"Середній","Низький"))))</f>
        <v/>
      </c>
      <c r="J20" s="22"/>
      <c r="K20" s="22"/>
      <c r="L20" s="22"/>
      <c r="M20" s="22"/>
      <c r="N20" s="22"/>
      <c r="O20" s="24"/>
      <c r="P20" s="22"/>
      <c r="Q20" s="22"/>
      <c r="R20" s="22"/>
    </row>
    <row r="21" customFormat="false" ht="42" hidden="false" customHeight="true" outlineLevel="0" collapsed="false">
      <c r="A21" s="21"/>
      <c r="B21" s="22"/>
      <c r="C21" s="22"/>
      <c r="D21" s="22"/>
      <c r="E21" s="22"/>
      <c r="F21" s="22"/>
      <c r="G21" s="22"/>
      <c r="H21" s="23" t="str">
        <f aca="false">IF(OR(N(F21)=0,N(G21)=0),"",LEFT(F21,1)*LEFT(G21,1))</f>
        <v/>
      </c>
      <c r="I21" s="23" t="str">
        <f aca="false">IF(H21="","",IF(H21&gt;=15,"Критичний",IF(H21&gt;=10,"Високий",IF(H21&gt;=5,"Середній","Низький"))))</f>
        <v/>
      </c>
      <c r="J21" s="22"/>
      <c r="K21" s="22"/>
      <c r="L21" s="22"/>
      <c r="M21" s="22"/>
      <c r="N21" s="22"/>
      <c r="O21" s="24"/>
      <c r="P21" s="22"/>
      <c r="Q21" s="22"/>
      <c r="R21" s="22"/>
    </row>
    <row r="22" customFormat="false" ht="42" hidden="false" customHeight="true" outlineLevel="0" collapsed="false">
      <c r="A22" s="21"/>
      <c r="B22" s="22"/>
      <c r="C22" s="22"/>
      <c r="D22" s="22"/>
      <c r="E22" s="22"/>
      <c r="F22" s="22"/>
      <c r="G22" s="22"/>
      <c r="H22" s="23" t="str">
        <f aca="false">IF(OR(N(F22)=0,N(G22)=0),"",LEFT(F22,1)*LEFT(G22,1))</f>
        <v/>
      </c>
      <c r="I22" s="23" t="str">
        <f aca="false">IF(H22="","",IF(H22&gt;=15,"Критичний",IF(H22&gt;=10,"Високий",IF(H22&gt;=5,"Середній","Низький"))))</f>
        <v/>
      </c>
      <c r="J22" s="22"/>
      <c r="K22" s="22"/>
      <c r="L22" s="22"/>
      <c r="M22" s="22"/>
      <c r="N22" s="22"/>
      <c r="O22" s="24"/>
      <c r="P22" s="22"/>
      <c r="Q22" s="22"/>
      <c r="R22" s="22"/>
    </row>
    <row r="23" customFormat="false" ht="42" hidden="false" customHeight="true" outlineLevel="0" collapsed="false">
      <c r="A23" s="21"/>
      <c r="B23" s="22"/>
      <c r="C23" s="22"/>
      <c r="D23" s="22"/>
      <c r="E23" s="22"/>
      <c r="F23" s="22"/>
      <c r="G23" s="22"/>
      <c r="H23" s="23" t="str">
        <f aca="false">IF(OR(N(F23)=0,N(G23)=0),"",LEFT(F23,1)*LEFT(G23,1))</f>
        <v/>
      </c>
      <c r="I23" s="23" t="str">
        <f aca="false">IF(H23="","",IF(H23&gt;=15,"Критичний",IF(H23&gt;=10,"Високий",IF(H23&gt;=5,"Середній","Низький"))))</f>
        <v/>
      </c>
      <c r="J23" s="22"/>
      <c r="K23" s="22"/>
      <c r="L23" s="22"/>
      <c r="M23" s="22"/>
      <c r="N23" s="22"/>
      <c r="O23" s="24"/>
      <c r="P23" s="22"/>
      <c r="Q23" s="22"/>
      <c r="R23" s="22"/>
    </row>
    <row r="24" customFormat="false" ht="42" hidden="false" customHeight="true" outlineLevel="0" collapsed="false">
      <c r="A24" s="21"/>
      <c r="B24" s="22"/>
      <c r="C24" s="22"/>
      <c r="D24" s="22"/>
      <c r="E24" s="22"/>
      <c r="F24" s="22"/>
      <c r="G24" s="22"/>
      <c r="H24" s="23" t="str">
        <f aca="false">IF(OR(N(F24)=0,N(G24)=0),"",LEFT(F24,1)*LEFT(G24,1))</f>
        <v/>
      </c>
      <c r="I24" s="23" t="str">
        <f aca="false">IF(H24="","",IF(H24&gt;=15,"Критичний",IF(H24&gt;=10,"Високий",IF(H24&gt;=5,"Середній","Низький"))))</f>
        <v/>
      </c>
      <c r="J24" s="22"/>
      <c r="K24" s="22"/>
      <c r="L24" s="22"/>
      <c r="M24" s="22"/>
      <c r="N24" s="22"/>
      <c r="O24" s="24"/>
      <c r="P24" s="22"/>
      <c r="Q24" s="22"/>
      <c r="R24" s="22"/>
    </row>
    <row r="25" customFormat="false" ht="42" hidden="false" customHeight="true" outlineLevel="0" collapsed="false">
      <c r="A25" s="21"/>
      <c r="B25" s="22"/>
      <c r="C25" s="22"/>
      <c r="D25" s="22"/>
      <c r="E25" s="22"/>
      <c r="F25" s="22"/>
      <c r="G25" s="22"/>
      <c r="H25" s="23" t="str">
        <f aca="false">IF(OR(N(F25)=0,N(G25)=0),"",LEFT(F25,1)*LEFT(G25,1))</f>
        <v/>
      </c>
      <c r="I25" s="23" t="str">
        <f aca="false">IF(H25="","",IF(H25&gt;=15,"Критичний",IF(H25&gt;=10,"Високий",IF(H25&gt;=5,"Середній","Низький"))))</f>
        <v/>
      </c>
      <c r="J25" s="22"/>
      <c r="K25" s="22"/>
      <c r="L25" s="22"/>
      <c r="M25" s="22"/>
      <c r="N25" s="22"/>
      <c r="O25" s="24"/>
      <c r="P25" s="22"/>
      <c r="Q25" s="22"/>
      <c r="R25" s="22"/>
    </row>
    <row r="26" customFormat="false" ht="42" hidden="false" customHeight="true" outlineLevel="0" collapsed="false">
      <c r="A26" s="21"/>
      <c r="B26" s="22"/>
      <c r="C26" s="22"/>
      <c r="D26" s="22"/>
      <c r="E26" s="22"/>
      <c r="F26" s="22"/>
      <c r="G26" s="22"/>
      <c r="H26" s="23" t="str">
        <f aca="false">IF(OR(N(F26)=0,N(G26)=0),"",LEFT(F26,1)*LEFT(G26,1))</f>
        <v/>
      </c>
      <c r="I26" s="23" t="str">
        <f aca="false">IF(H26="","",IF(H26&gt;=15,"Критичний",IF(H26&gt;=10,"Високий",IF(H26&gt;=5,"Середній","Низький"))))</f>
        <v/>
      </c>
      <c r="J26" s="22"/>
      <c r="K26" s="22"/>
      <c r="L26" s="22"/>
      <c r="M26" s="22"/>
      <c r="N26" s="22"/>
      <c r="O26" s="24"/>
      <c r="P26" s="22"/>
      <c r="Q26" s="22"/>
      <c r="R26" s="22"/>
    </row>
    <row r="27" customFormat="false" ht="42" hidden="false" customHeight="true" outlineLevel="0" collapsed="false">
      <c r="A27" s="21"/>
      <c r="B27" s="22"/>
      <c r="C27" s="22"/>
      <c r="D27" s="22"/>
      <c r="E27" s="22"/>
      <c r="F27" s="22"/>
      <c r="G27" s="22"/>
      <c r="H27" s="23" t="str">
        <f aca="false">IF(OR(N(F27)=0,N(G27)=0),"",LEFT(F27,1)*LEFT(G27,1))</f>
        <v/>
      </c>
      <c r="I27" s="23" t="str">
        <f aca="false">IF(H27="","",IF(H27&gt;=15,"Критичний",IF(H27&gt;=10,"Високий",IF(H27&gt;=5,"Середній","Низький"))))</f>
        <v/>
      </c>
      <c r="J27" s="22"/>
      <c r="K27" s="22"/>
      <c r="L27" s="22"/>
      <c r="M27" s="22"/>
      <c r="N27" s="22"/>
      <c r="O27" s="24"/>
      <c r="P27" s="22"/>
      <c r="Q27" s="22"/>
      <c r="R27" s="22"/>
    </row>
    <row r="28" customFormat="false" ht="42" hidden="false" customHeight="true" outlineLevel="0" collapsed="false">
      <c r="A28" s="21"/>
      <c r="B28" s="22"/>
      <c r="C28" s="22"/>
      <c r="D28" s="22"/>
      <c r="E28" s="22"/>
      <c r="F28" s="22"/>
      <c r="G28" s="22"/>
      <c r="H28" s="23" t="str">
        <f aca="false">IF(OR(N(F28)=0,N(G28)=0),"",LEFT(F28,1)*LEFT(G28,1))</f>
        <v/>
      </c>
      <c r="I28" s="23" t="str">
        <f aca="false">IF(H28="","",IF(H28&gt;=15,"Критичний",IF(H28&gt;=10,"Високий",IF(H28&gt;=5,"Середній","Низький"))))</f>
        <v/>
      </c>
      <c r="J28" s="22"/>
      <c r="K28" s="22"/>
      <c r="L28" s="22"/>
      <c r="M28" s="22"/>
      <c r="N28" s="22"/>
      <c r="O28" s="24"/>
      <c r="P28" s="22"/>
      <c r="Q28" s="22"/>
      <c r="R28" s="22"/>
    </row>
    <row r="29" customFormat="false" ht="42" hidden="false" customHeight="true" outlineLevel="0" collapsed="false">
      <c r="A29" s="21"/>
      <c r="B29" s="22"/>
      <c r="C29" s="22"/>
      <c r="D29" s="22"/>
      <c r="E29" s="22"/>
      <c r="F29" s="22"/>
      <c r="G29" s="22"/>
      <c r="H29" s="23" t="str">
        <f aca="false">IF(OR(N(F29)=0,N(G29)=0),"",LEFT(F29,1)*LEFT(G29,1))</f>
        <v/>
      </c>
      <c r="I29" s="23" t="str">
        <f aca="false">IF(H29="","",IF(H29&gt;=15,"Критичний",IF(H29&gt;=10,"Високий",IF(H29&gt;=5,"Середній","Низький"))))</f>
        <v/>
      </c>
      <c r="J29" s="22"/>
      <c r="K29" s="22"/>
      <c r="L29" s="22"/>
      <c r="M29" s="22"/>
      <c r="N29" s="22"/>
      <c r="O29" s="24"/>
      <c r="P29" s="22"/>
      <c r="Q29" s="22"/>
      <c r="R29" s="22"/>
    </row>
    <row r="30" customFormat="false" ht="42" hidden="false" customHeight="true" outlineLevel="0" collapsed="false">
      <c r="A30" s="21"/>
      <c r="B30" s="22"/>
      <c r="C30" s="22"/>
      <c r="D30" s="22"/>
      <c r="E30" s="22"/>
      <c r="F30" s="22"/>
      <c r="G30" s="22"/>
      <c r="H30" s="23" t="str">
        <f aca="false">IF(OR(N(F30)=0,N(G30)=0),"",LEFT(F30,1)*LEFT(G30,1))</f>
        <v/>
      </c>
      <c r="I30" s="23" t="str">
        <f aca="false">IF(H30="","",IF(H30&gt;=15,"Критичний",IF(H30&gt;=10,"Високий",IF(H30&gt;=5,"Середній","Низький"))))</f>
        <v/>
      </c>
      <c r="J30" s="22"/>
      <c r="K30" s="22"/>
      <c r="L30" s="22"/>
      <c r="M30" s="22"/>
      <c r="N30" s="22"/>
      <c r="O30" s="24"/>
      <c r="P30" s="22"/>
      <c r="Q30" s="22"/>
      <c r="R30" s="22"/>
    </row>
    <row r="31" customFormat="false" ht="42" hidden="false" customHeight="true" outlineLevel="0" collapsed="false">
      <c r="A31" s="21"/>
      <c r="B31" s="22"/>
      <c r="C31" s="22"/>
      <c r="D31" s="22"/>
      <c r="E31" s="22"/>
      <c r="F31" s="22"/>
      <c r="G31" s="22"/>
      <c r="H31" s="23" t="str">
        <f aca="false">IF(OR(N(F31)=0,N(G31)=0),"",LEFT(F31,1)*LEFT(G31,1))</f>
        <v/>
      </c>
      <c r="I31" s="23" t="str">
        <f aca="false">IF(H31="","",IF(H31&gt;=15,"Критичний",IF(H31&gt;=10,"Високий",IF(H31&gt;=5,"Середній","Низький"))))</f>
        <v/>
      </c>
      <c r="J31" s="22"/>
      <c r="K31" s="22"/>
      <c r="L31" s="22"/>
      <c r="M31" s="22"/>
      <c r="N31" s="22"/>
      <c r="O31" s="24"/>
      <c r="P31" s="22"/>
      <c r="Q31" s="22"/>
      <c r="R31" s="22"/>
    </row>
    <row r="32" customFormat="false" ht="42" hidden="false" customHeight="true" outlineLevel="0" collapsed="false">
      <c r="A32" s="21"/>
      <c r="B32" s="22"/>
      <c r="C32" s="22"/>
      <c r="D32" s="22"/>
      <c r="E32" s="22"/>
      <c r="F32" s="22"/>
      <c r="G32" s="22"/>
      <c r="H32" s="23" t="str">
        <f aca="false">IF(OR(N(F32)=0,N(G32)=0),"",LEFT(F32,1)*LEFT(G32,1))</f>
        <v/>
      </c>
      <c r="I32" s="23" t="str">
        <f aca="false">IF(H32="","",IF(H32&gt;=15,"Критичний",IF(H32&gt;=10,"Високий",IF(H32&gt;=5,"Середній","Низький"))))</f>
        <v/>
      </c>
      <c r="J32" s="22"/>
      <c r="K32" s="22"/>
      <c r="L32" s="22"/>
      <c r="M32" s="22"/>
      <c r="N32" s="22"/>
      <c r="O32" s="24"/>
      <c r="P32" s="22"/>
      <c r="Q32" s="22"/>
      <c r="R32" s="22"/>
    </row>
    <row r="33" customFormat="false" ht="42" hidden="false" customHeight="true" outlineLevel="0" collapsed="false">
      <c r="A33" s="21"/>
      <c r="B33" s="22"/>
      <c r="C33" s="22"/>
      <c r="D33" s="22"/>
      <c r="E33" s="22"/>
      <c r="F33" s="22"/>
      <c r="G33" s="22"/>
      <c r="H33" s="23" t="str">
        <f aca="false">IF(OR(N(F33)=0,N(G33)=0),"",LEFT(F33,1)*LEFT(G33,1))</f>
        <v/>
      </c>
      <c r="I33" s="23" t="str">
        <f aca="false">IF(H33="","",IF(H33&gt;=15,"Критичний",IF(H33&gt;=10,"Високий",IF(H33&gt;=5,"Середній","Низький"))))</f>
        <v/>
      </c>
      <c r="J33" s="22"/>
      <c r="K33" s="22"/>
      <c r="L33" s="22"/>
      <c r="M33" s="22"/>
      <c r="N33" s="22"/>
      <c r="O33" s="24"/>
      <c r="P33" s="22"/>
      <c r="Q33" s="22"/>
      <c r="R33" s="22"/>
    </row>
    <row r="34" customFormat="false" ht="42" hidden="false" customHeight="true" outlineLevel="0" collapsed="false">
      <c r="A34" s="21"/>
      <c r="B34" s="22"/>
      <c r="C34" s="22"/>
      <c r="D34" s="22"/>
      <c r="E34" s="22"/>
      <c r="F34" s="22"/>
      <c r="G34" s="22"/>
      <c r="H34" s="23" t="str">
        <f aca="false">IF(OR(N(F34)=0,N(G34)=0),"",LEFT(F34,1)*LEFT(G34,1))</f>
        <v/>
      </c>
      <c r="I34" s="23" t="str">
        <f aca="false">IF(H34="","",IF(H34&gt;=15,"Критичний",IF(H34&gt;=10,"Високий",IF(H34&gt;=5,"Середній","Низький"))))</f>
        <v/>
      </c>
      <c r="J34" s="22"/>
      <c r="K34" s="22"/>
      <c r="L34" s="22"/>
      <c r="M34" s="22"/>
      <c r="N34" s="22"/>
      <c r="O34" s="24"/>
      <c r="P34" s="22"/>
      <c r="Q34" s="22"/>
      <c r="R34" s="22"/>
    </row>
    <row r="35" customFormat="false" ht="42" hidden="false" customHeight="true" outlineLevel="0" collapsed="false">
      <c r="A35" s="21"/>
      <c r="B35" s="22"/>
      <c r="C35" s="22"/>
      <c r="D35" s="22"/>
      <c r="E35" s="22"/>
      <c r="F35" s="22"/>
      <c r="G35" s="22"/>
      <c r="H35" s="23" t="str">
        <f aca="false">IF(OR(N(F35)=0,N(G35)=0),"",LEFT(F35,1)*LEFT(G35,1))</f>
        <v/>
      </c>
      <c r="I35" s="23" t="str">
        <f aca="false">IF(H35="","",IF(H35&gt;=15,"Критичний",IF(H35&gt;=10,"Високий",IF(H35&gt;=5,"Середній","Низький"))))</f>
        <v/>
      </c>
      <c r="J35" s="22"/>
      <c r="K35" s="22"/>
      <c r="L35" s="22"/>
      <c r="M35" s="22"/>
      <c r="N35" s="22"/>
      <c r="O35" s="24"/>
      <c r="P35" s="22"/>
      <c r="Q35" s="22"/>
      <c r="R35" s="22"/>
    </row>
    <row r="36" customFormat="false" ht="42" hidden="false" customHeight="true" outlineLevel="0" collapsed="false">
      <c r="A36" s="21"/>
      <c r="B36" s="22"/>
      <c r="C36" s="22"/>
      <c r="D36" s="22"/>
      <c r="E36" s="22"/>
      <c r="F36" s="22"/>
      <c r="G36" s="22"/>
      <c r="H36" s="23" t="str">
        <f aca="false">IF(OR(N(F36)=0,N(G36)=0),"",LEFT(F36,1)*LEFT(G36,1))</f>
        <v/>
      </c>
      <c r="I36" s="23" t="str">
        <f aca="false">IF(H36="","",IF(H36&gt;=15,"Критичний",IF(H36&gt;=10,"Високий",IF(H36&gt;=5,"Середній","Низький"))))</f>
        <v/>
      </c>
      <c r="J36" s="22"/>
      <c r="K36" s="22"/>
      <c r="L36" s="22"/>
      <c r="M36" s="22"/>
      <c r="N36" s="22"/>
      <c r="O36" s="24"/>
      <c r="P36" s="22"/>
      <c r="Q36" s="22"/>
      <c r="R36" s="22"/>
    </row>
    <row r="37" customFormat="false" ht="42" hidden="false" customHeight="true" outlineLevel="0" collapsed="false">
      <c r="A37" s="21"/>
      <c r="B37" s="22"/>
      <c r="C37" s="22"/>
      <c r="D37" s="22"/>
      <c r="E37" s="22"/>
      <c r="F37" s="22"/>
      <c r="G37" s="22"/>
      <c r="H37" s="23" t="str">
        <f aca="false">IF(OR(N(F37)=0,N(G37)=0),"",LEFT(F37,1)*LEFT(G37,1))</f>
        <v/>
      </c>
      <c r="I37" s="23" t="str">
        <f aca="false">IF(H37="","",IF(H37&gt;=15,"Критичний",IF(H37&gt;=10,"Високий",IF(H37&gt;=5,"Середній","Низький"))))</f>
        <v/>
      </c>
      <c r="J37" s="22"/>
      <c r="K37" s="22"/>
      <c r="L37" s="22"/>
      <c r="M37" s="22"/>
      <c r="N37" s="22"/>
      <c r="O37" s="24"/>
      <c r="P37" s="22"/>
      <c r="Q37" s="22"/>
      <c r="R37" s="22"/>
    </row>
    <row r="38" customFormat="false" ht="42" hidden="false" customHeight="true" outlineLevel="0" collapsed="false">
      <c r="A38" s="21"/>
      <c r="B38" s="22"/>
      <c r="C38" s="22"/>
      <c r="D38" s="22"/>
      <c r="E38" s="22"/>
      <c r="F38" s="22"/>
      <c r="G38" s="22"/>
      <c r="H38" s="23" t="str">
        <f aca="false">IF(OR(N(F38)=0,N(G38)=0),"",LEFT(F38,1)*LEFT(G38,1))</f>
        <v/>
      </c>
      <c r="I38" s="23" t="str">
        <f aca="false">IF(H38="","",IF(H38&gt;=15,"Критичний",IF(H38&gt;=10,"Високий",IF(H38&gt;=5,"Середній","Низький"))))</f>
        <v/>
      </c>
      <c r="J38" s="22"/>
      <c r="K38" s="22"/>
      <c r="L38" s="22"/>
      <c r="M38" s="22"/>
      <c r="N38" s="22"/>
      <c r="O38" s="24"/>
      <c r="P38" s="22"/>
      <c r="Q38" s="22"/>
      <c r="R38" s="22"/>
    </row>
    <row r="39" customFormat="false" ht="42" hidden="false" customHeight="true" outlineLevel="0" collapsed="false">
      <c r="A39" s="21"/>
      <c r="B39" s="22"/>
      <c r="C39" s="22"/>
      <c r="D39" s="22"/>
      <c r="E39" s="22"/>
      <c r="F39" s="22"/>
      <c r="G39" s="22"/>
      <c r="H39" s="23" t="str">
        <f aca="false">IF(OR(N(F39)=0,N(G39)=0),"",LEFT(F39,1)*LEFT(G39,1))</f>
        <v/>
      </c>
      <c r="I39" s="23" t="str">
        <f aca="false">IF(H39="","",IF(H39&gt;=15,"Критичний",IF(H39&gt;=10,"Високий",IF(H39&gt;=5,"Середній","Низький"))))</f>
        <v/>
      </c>
      <c r="J39" s="22"/>
      <c r="K39" s="22"/>
      <c r="L39" s="22"/>
      <c r="M39" s="22"/>
      <c r="N39" s="22"/>
      <c r="O39" s="24"/>
      <c r="P39" s="22"/>
      <c r="Q39" s="22"/>
      <c r="R39" s="22"/>
    </row>
    <row r="40" customFormat="false" ht="42" hidden="false" customHeight="true" outlineLevel="0" collapsed="false">
      <c r="A40" s="21"/>
      <c r="B40" s="22"/>
      <c r="C40" s="22"/>
      <c r="D40" s="22"/>
      <c r="E40" s="22"/>
      <c r="F40" s="22"/>
      <c r="G40" s="22"/>
      <c r="H40" s="23" t="str">
        <f aca="false">IF(OR(N(F40)=0,N(G40)=0),"",LEFT(F40,1)*LEFT(G40,1))</f>
        <v/>
      </c>
      <c r="I40" s="23" t="str">
        <f aca="false">IF(H40="","",IF(H40&gt;=15,"Критичний",IF(H40&gt;=10,"Високий",IF(H40&gt;=5,"Середній","Низький"))))</f>
        <v/>
      </c>
      <c r="J40" s="22"/>
      <c r="K40" s="22"/>
      <c r="L40" s="22"/>
      <c r="M40" s="22"/>
      <c r="N40" s="22"/>
      <c r="O40" s="24"/>
      <c r="P40" s="22"/>
      <c r="Q40" s="22"/>
      <c r="R40" s="22"/>
    </row>
    <row r="41" customFormat="false" ht="42" hidden="false" customHeight="true" outlineLevel="0" collapsed="false">
      <c r="A41" s="21"/>
      <c r="B41" s="22"/>
      <c r="C41" s="22"/>
      <c r="D41" s="22"/>
      <c r="E41" s="22"/>
      <c r="F41" s="22"/>
      <c r="G41" s="22"/>
      <c r="H41" s="23" t="str">
        <f aca="false">IF(OR(N(F41)=0,N(G41)=0),"",LEFT(F41,1)*LEFT(G41,1))</f>
        <v/>
      </c>
      <c r="I41" s="23" t="str">
        <f aca="false">IF(H41="","",IF(H41&gt;=15,"Критичний",IF(H41&gt;=10,"Високий",IF(H41&gt;=5,"Середній","Низький"))))</f>
        <v/>
      </c>
      <c r="J41" s="22"/>
      <c r="K41" s="22"/>
      <c r="L41" s="22"/>
      <c r="M41" s="22"/>
      <c r="N41" s="22"/>
      <c r="O41" s="24"/>
      <c r="P41" s="22"/>
      <c r="Q41" s="22"/>
      <c r="R41" s="22"/>
    </row>
    <row r="42" customFormat="false" ht="42" hidden="false" customHeight="true" outlineLevel="0" collapsed="false">
      <c r="A42" s="21"/>
      <c r="B42" s="22"/>
      <c r="C42" s="22"/>
      <c r="D42" s="22"/>
      <c r="E42" s="22"/>
      <c r="F42" s="22"/>
      <c r="G42" s="22"/>
      <c r="H42" s="23" t="str">
        <f aca="false">IF(OR(N(F42)=0,N(G42)=0),"",LEFT(F42,1)*LEFT(G42,1))</f>
        <v/>
      </c>
      <c r="I42" s="23" t="str">
        <f aca="false">IF(H42="","",IF(H42&gt;=15,"Критичний",IF(H42&gt;=10,"Високий",IF(H42&gt;=5,"Середній","Низький"))))</f>
        <v/>
      </c>
      <c r="J42" s="22"/>
      <c r="K42" s="22"/>
      <c r="L42" s="22"/>
      <c r="M42" s="22"/>
      <c r="N42" s="22"/>
      <c r="O42" s="24"/>
      <c r="P42" s="22"/>
      <c r="Q42" s="22"/>
      <c r="R42" s="22"/>
    </row>
    <row r="43" customFormat="false" ht="15" hidden="false" customHeight="false" outlineLevel="0" collapsed="false">
      <c r="A43" s="25"/>
      <c r="B43" s="25"/>
      <c r="C43" s="25"/>
      <c r="D43" s="26" t="s">
        <v>195</v>
      </c>
      <c r="E43" s="25"/>
      <c r="F43" s="25"/>
      <c r="G43" s="25"/>
      <c r="H43" s="25"/>
      <c r="I43" s="27" t="str">
        <f aca="false">COUNTIF(I3:I42,"Критичний")&amp;" крит / "&amp;COUNTIF(I3:I42,"Високий")&amp;" вис"</f>
        <v>1 крит / 2 вис</v>
      </c>
      <c r="J43" s="25"/>
      <c r="K43" s="25"/>
      <c r="L43" s="25"/>
      <c r="M43" s="25"/>
      <c r="N43" s="25"/>
      <c r="O43" s="28" t="n">
        <f aca="false">SUM(O3:O42)</f>
        <v>50000</v>
      </c>
      <c r="P43" s="25"/>
      <c r="Q43" s="25"/>
      <c r="R43" s="25"/>
    </row>
  </sheetData>
  <mergeCells count="1">
    <mergeCell ref="A1:R1"/>
  </mergeCells>
  <conditionalFormatting sqref="I3:I42">
    <cfRule type="expression" priority="2" aboveAverage="0" equalAverage="0" bottom="0" percent="0" rank="0" text="" dxfId="0">
      <formula>$I3="Критичний"</formula>
    </cfRule>
    <cfRule type="expression" priority="3" aboveAverage="0" equalAverage="0" bottom="0" percent="0" rank="0" text="" dxfId="1">
      <formula>$I3="Високий"</formula>
    </cfRule>
    <cfRule type="expression" priority="4" aboveAverage="0" equalAverage="0" bottom="0" percent="0" rank="0" text="" dxfId="2">
      <formula>$I3="Середній"</formula>
    </cfRule>
    <cfRule type="expression" priority="5" aboveAverage="0" equalAverage="0" bottom="0" percent="0" rank="0" text="" dxfId="3">
      <formula>$I3="Низький"</formula>
    </cfRule>
  </conditionalFormatting>
  <dataValidations count="8">
    <dataValidation allowBlank="true" errorStyle="stop" operator="between" showDropDown="false" showErrorMessage="false" showInputMessage="false" sqref="C3:C42" type="list">
      <formula1>Довідники!$A$2:$A$20</formula1>
      <formula2>0</formula2>
    </dataValidation>
    <dataValidation allowBlank="true" errorStyle="stop" operator="between" showDropDown="false" showErrorMessage="false" showInputMessage="false" sqref="F3:F42" type="list">
      <formula1>Довідники!$B$2:$B$6</formula1>
      <formula2>0</formula2>
    </dataValidation>
    <dataValidation allowBlank="true" errorStyle="stop" operator="between" showDropDown="false" showErrorMessage="false" showInputMessage="false" sqref="G3:G42" type="list">
      <formula1>Довідники!$C$2:$C$6</formula1>
      <formula2>0</formula2>
    </dataValidation>
    <dataValidation allowBlank="true" errorStyle="stop" operator="between" showDropDown="false" showErrorMessage="false" showInputMessage="false" sqref="J3:J42" type="list">
      <formula1>Довідники!$D$2:$D$9</formula1>
      <formula2>0</formula2>
    </dataValidation>
    <dataValidation allowBlank="true" errorStyle="stop" operator="between" showDropDown="false" showErrorMessage="false" showInputMessage="false" sqref="L3:L42" type="list">
      <formula1>Довідники!$F$2:$F$8</formula1>
      <formula2>0</formula2>
    </dataValidation>
    <dataValidation allowBlank="true" errorStyle="stop" operator="between" showDropDown="false" showErrorMessage="false" showInputMessage="false" sqref="Q3:Q42" type="list">
      <formula1>Довідники!$E$2:$E$7</formula1>
      <formula2>0</formula2>
    </dataValidation>
    <dataValidation allowBlank="true" errorStyle="stop" operator="between" showDropDown="false" showErrorMessage="false" showInputMessage="false" sqref="D3:D42" type="list">
      <formula1>Довідники!$G$2:$G$3</formula1>
      <formula2>0</formula2>
    </dataValidation>
    <dataValidation allowBlank="true" errorStyle="stop" operator="between" showDropDown="false" showErrorMessage="false" showInputMessage="false" sqref="P3:P42" type="list">
      <formula1>Довідники!$B$2:$B$6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1"/>
  </cols>
  <sheetData>
    <row r="1" customFormat="false" ht="27.75" hidden="false" customHeight="true" outlineLevel="0" collapsed="false">
      <c r="A1" s="13" t="s">
        <v>196</v>
      </c>
      <c r="B1" s="13"/>
      <c r="C1" s="13"/>
      <c r="D1" s="13"/>
      <c r="E1" s="13"/>
      <c r="F1" s="13"/>
      <c r="G1" s="13"/>
    </row>
    <row r="3" customFormat="false" ht="15" hidden="false" customHeight="true" outlineLevel="0" collapsed="false">
      <c r="A3" s="29" t="s">
        <v>197</v>
      </c>
    </row>
    <row r="4" customFormat="false" ht="30" hidden="false" customHeight="true" outlineLevel="0" collapsed="false">
      <c r="A4" s="29"/>
      <c r="B4" s="20" t="s">
        <v>44</v>
      </c>
      <c r="C4" s="20" t="s">
        <v>51</v>
      </c>
      <c r="D4" s="20" t="s">
        <v>58</v>
      </c>
      <c r="E4" s="20" t="s">
        <v>64</v>
      </c>
      <c r="F4" s="20" t="s">
        <v>70</v>
      </c>
    </row>
    <row r="5" customFormat="false" ht="25.5" hidden="false" customHeight="true" outlineLevel="0" collapsed="false">
      <c r="A5" s="20" t="s">
        <v>69</v>
      </c>
      <c r="B5" s="30" t="n">
        <v>5</v>
      </c>
      <c r="C5" s="31" t="n">
        <v>10</v>
      </c>
      <c r="D5" s="32" t="n">
        <v>15</v>
      </c>
      <c r="E5" s="32" t="n">
        <v>20</v>
      </c>
      <c r="F5" s="32" t="n">
        <v>25</v>
      </c>
    </row>
    <row r="6" customFormat="false" ht="25.5" hidden="false" customHeight="true" outlineLevel="0" collapsed="false">
      <c r="A6" s="20" t="s">
        <v>63</v>
      </c>
      <c r="B6" s="33" t="n">
        <v>4</v>
      </c>
      <c r="C6" s="30" t="n">
        <v>8</v>
      </c>
      <c r="D6" s="31" t="n">
        <v>12</v>
      </c>
      <c r="E6" s="32" t="n">
        <v>16</v>
      </c>
      <c r="F6" s="32" t="n">
        <v>20</v>
      </c>
    </row>
    <row r="7" customFormat="false" ht="25.5" hidden="false" customHeight="true" outlineLevel="0" collapsed="false">
      <c r="A7" s="20" t="s">
        <v>57</v>
      </c>
      <c r="B7" s="33" t="n">
        <v>3</v>
      </c>
      <c r="C7" s="30" t="n">
        <v>6</v>
      </c>
      <c r="D7" s="30" t="n">
        <v>9</v>
      </c>
      <c r="E7" s="31" t="n">
        <v>12</v>
      </c>
      <c r="F7" s="32" t="n">
        <v>15</v>
      </c>
    </row>
    <row r="8" customFormat="false" ht="25.5" hidden="false" customHeight="true" outlineLevel="0" collapsed="false">
      <c r="A8" s="20" t="s">
        <v>50</v>
      </c>
      <c r="B8" s="33" t="n">
        <v>2</v>
      </c>
      <c r="C8" s="33" t="n">
        <v>4</v>
      </c>
      <c r="D8" s="30" t="n">
        <v>6</v>
      </c>
      <c r="E8" s="30" t="n">
        <v>8</v>
      </c>
      <c r="F8" s="31" t="n">
        <v>10</v>
      </c>
    </row>
    <row r="9" customFormat="false" ht="25.5" hidden="false" customHeight="true" outlineLevel="0" collapsed="false">
      <c r="A9" s="20" t="s">
        <v>43</v>
      </c>
      <c r="B9" s="33" t="n">
        <v>1</v>
      </c>
      <c r="C9" s="33" t="n">
        <v>2</v>
      </c>
      <c r="D9" s="33" t="n">
        <v>3</v>
      </c>
      <c r="E9" s="33" t="n">
        <v>4</v>
      </c>
      <c r="F9" s="30" t="n">
        <v>5</v>
      </c>
    </row>
    <row r="11" customFormat="false" ht="25.5" hidden="false" customHeight="true" outlineLevel="0" collapsed="false">
      <c r="A11" s="34" t="s">
        <v>198</v>
      </c>
      <c r="B11" s="35" t="s">
        <v>199</v>
      </c>
      <c r="C11" s="36" t="s">
        <v>200</v>
      </c>
      <c r="D11" s="37" t="s">
        <v>201</v>
      </c>
      <c r="E11" s="38" t="s">
        <v>202</v>
      </c>
    </row>
  </sheetData>
  <mergeCells count="2">
    <mergeCell ref="A1:G1"/>
    <mergeCell ref="A3: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2026-07-24T13:23:47Z</dcterms:created>
  <dc:creator>openpyxl</dc:creator>
  <dc:description/>
  <dc:language>en-US</dc:language>
  <cp:lastModifiedBy/>
  <dcterms:modified xsi:type="dcterms:W3CDTF">2026-07-24T13:23:47Z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