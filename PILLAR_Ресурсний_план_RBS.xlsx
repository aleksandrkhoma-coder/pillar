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Інструкція" sheetId="1" state="visible" r:id="rId3"/>
    <sheet name="Довідники" sheetId="2" state="visible" r:id="rId4"/>
    <sheet name="RBS (категорії)" sheetId="3" state="visible" r:id="rId5"/>
    <sheet name="Ресурсний план" sheetId="4" state="visible" r:id="rId6"/>
    <sheet name="Завантаження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ОУП</author>
  </authors>
  <commentList>
    <comment ref="J2" authorId="0">
      <text>
        <r>
          <rPr>
            <sz val="10"/>
            <rFont val="Arial"/>
            <family val="2"/>
          </rPr>
          <t xml:space="preserve">Планова вартість = К-сть одиниць × Ставка × Доступність %. Формула, не редагувати.</t>
        </r>
      </text>
    </comment>
  </commentList>
</comments>
</file>

<file path=xl/sharedStrings.xml><?xml version="1.0" encoding="utf-8"?>
<sst xmlns="http://schemas.openxmlformats.org/spreadsheetml/2006/main" count="191" uniqueCount="164">
  <si>
    <t xml:space="preserve">PILLAR Digital Platform · Ресурсний план (Resource Breakdown Structure)</t>
  </si>
  <si>
    <t xml:space="preserve">Шаблон ОУП · PMBOK 9 (Resource Management) · ред. 1.0 · заповнює керівник проєкту</t>
  </si>
  <si>
    <t xml:space="preserve">Про документ</t>
  </si>
  <si>
    <t xml:space="preserve">Призначення</t>
  </si>
  <si>
    <t xml:space="preserve">Ресурсний план описує ВСІ ресурси проєкту (люди, ролі, обладнання, матеріали, послуги, бюджетні статті), їхню приналежність до категорій RBS, доступність, ставки та планові трудовитрати й вартість. База для календарного плану, бюджету та вирівнювання завантаження.</t>
  </si>
  <si>
    <t xml:space="preserve">RBS — що це</t>
  </si>
  <si>
    <t xml:space="preserve">Resource Breakdown Structure — ієрархічна структура (дерево) КАТЕГОРІЙ ресурсів. Не плутати з Risk Breakdown Structure (структура категорій ризиків) — та в окремому файлі «Реєстр ризиків».</t>
  </si>
  <si>
    <t xml:space="preserve">Структура файлу</t>
  </si>
  <si>
    <t xml:space="preserve">1. RBS (категорії)</t>
  </si>
  <si>
    <t xml:space="preserve">Дерево категорій ресурсів проєкту з кодами. Довідник для колонки «Код RBS» у ресурсному плані.</t>
  </si>
  <si>
    <t xml:space="preserve">2. Ресурсний план</t>
  </si>
  <si>
    <t xml:space="preserve">Головна таблиця: конкретні ресурси, ролі, доступність, ставка, трудовитрати, вартість.</t>
  </si>
  <si>
    <t xml:space="preserve">3. Завантаження</t>
  </si>
  <si>
    <t xml:space="preserve">Помісячний план трудовитрат по ролях (людино-дні) — основа гістограми завантаження.</t>
  </si>
  <si>
    <t xml:space="preserve">4. Довідники</t>
  </si>
  <si>
    <t xml:space="preserve">Списки для випадаючих меню (категорії, типи, одиниці, статуси). Тут можна дозаповнювати значення.</t>
  </si>
  <si>
    <t xml:space="preserve">Як заповнювати</t>
  </si>
  <si>
    <t xml:space="preserve">Сині значення</t>
  </si>
  <si>
    <t xml:space="preserve">Комірки із синім текстом та жовтим тлом — заповнює користувач. Чорні — формули, не чіпати.</t>
  </si>
  <si>
    <t xml:space="preserve">Випадаючі списки</t>
  </si>
  <si>
    <t xml:space="preserve">Код RBS, Тип, Одиниця, Статус — обирати зі списку (керуються листом «Довідники»).</t>
  </si>
  <si>
    <t xml:space="preserve">Розрахунки</t>
  </si>
  <si>
    <t xml:space="preserve">Планова вартість = Трудовитрати × Ставка × (Доступність %). Підсумки рахуються автоматично.</t>
  </si>
  <si>
    <t xml:space="preserve">Приклад-рядок</t>
  </si>
  <si>
    <t xml:space="preserve">Перший рядок таблиці — приклад реального формату (команда Pillar). Замінити або видалити.</t>
  </si>
  <si>
    <t xml:space="preserve">Легенда</t>
  </si>
  <si>
    <t xml:space="preserve">Поле для заповнення (ввід користувача)</t>
  </si>
  <si>
    <t xml:space="preserve">Формула / автоматичний розрахунок</t>
  </si>
  <si>
    <t xml:space="preserve">Заголовок таблиці</t>
  </si>
  <si>
    <t xml:space="preserve">Категорії RBS (код · назва)</t>
  </si>
  <si>
    <t xml:space="preserve">Тип ресурсу</t>
  </si>
  <si>
    <t xml:space="preserve">Одиниця</t>
  </si>
  <si>
    <t xml:space="preserve">Статус</t>
  </si>
  <si>
    <t xml:space="preserve">Джерело фінансування</t>
  </si>
  <si>
    <t xml:space="preserve">1 · Людські ресурси</t>
  </si>
  <si>
    <t xml:space="preserve">Людина</t>
  </si>
  <si>
    <t xml:space="preserve">людино-день</t>
  </si>
  <si>
    <t xml:space="preserve">Планується</t>
  </si>
  <si>
    <t xml:space="preserve">Внутрішній бюджет</t>
  </si>
  <si>
    <t xml:space="preserve">1.1 · Внутрішня команда PILLAR</t>
  </si>
  <si>
    <t xml:space="preserve">Роль/FTE</t>
  </si>
  <si>
    <t xml:space="preserve">людино-год</t>
  </si>
  <si>
    <t xml:space="preserve">Підтверджено</t>
  </si>
  <si>
    <t xml:space="preserve">Jarvis (ФОП, контракт)</t>
  </si>
  <si>
    <t xml:space="preserve">1.2 · Розробка (PILLAR Germany)</t>
  </si>
  <si>
    <t xml:space="preserve">Обладнання</t>
  </si>
  <si>
    <t xml:space="preserve">місяць</t>
  </si>
  <si>
    <t xml:space="preserve">Залучено</t>
  </si>
  <si>
    <t xml:space="preserve">PILLAR Germany</t>
  </si>
  <si>
    <t xml:space="preserve">1.3 · Зовнішні (Jarvis)</t>
  </si>
  <si>
    <t xml:space="preserve">ПЗ/Ліцензія</t>
  </si>
  <si>
    <t xml:space="preserve">шт.</t>
  </si>
  <si>
    <t xml:space="preserve">Завершено</t>
  </si>
  <si>
    <t xml:space="preserve">Резерв</t>
  </si>
  <si>
    <t xml:space="preserve">1.4 · Керівництво / спонсор</t>
  </si>
  <si>
    <t xml:space="preserve">Матеріал</t>
  </si>
  <si>
    <t xml:space="preserve">ліцензія</t>
  </si>
  <si>
    <t xml:space="preserve">Під ризиком</t>
  </si>
  <si>
    <t xml:space="preserve">ПОТРІБНО УТОЧНИТИ</t>
  </si>
  <si>
    <t xml:space="preserve">2 · Обладнання та ПЗ</t>
  </si>
  <si>
    <t xml:space="preserve">Послуга</t>
  </si>
  <si>
    <t xml:space="preserve">послуга</t>
  </si>
  <si>
    <t xml:space="preserve">Не застосовується</t>
  </si>
  <si>
    <t xml:space="preserve">2.1 · Ліцензії / SaaS</t>
  </si>
  <si>
    <t xml:space="preserve">Фінанси</t>
  </si>
  <si>
    <t xml:space="preserve">грн (фікс)</t>
  </si>
  <si>
    <t xml:space="preserve">2.2 · Інфраструктура / хмара</t>
  </si>
  <si>
    <t xml:space="preserve">2.3 · Робочі станції</t>
  </si>
  <si>
    <t xml:space="preserve">3 · Матеріали та контент</t>
  </si>
  <si>
    <t xml:space="preserve">3.1 · Дані / контент</t>
  </si>
  <si>
    <t xml:space="preserve">3.2 · Документація</t>
  </si>
  <si>
    <t xml:space="preserve">4 · Послуги / підряд</t>
  </si>
  <si>
    <t xml:space="preserve">4.1 · Консалтинг</t>
  </si>
  <si>
    <t xml:space="preserve">4.2 · Discovery / методологія</t>
  </si>
  <si>
    <t xml:space="preserve">5 · Фінансові резерви</t>
  </si>
  <si>
    <t xml:space="preserve">5.1 · Резерв на непередбачене</t>
  </si>
  <si>
    <t xml:space="preserve">5.2 · Управлінський резерв</t>
  </si>
  <si>
    <t xml:space="preserve">Resource Breakdown Structure — ієрархія категорій ресурсів проєкту PILLAR</t>
  </si>
  <si>
    <t xml:space="preserve">Код RBS</t>
  </si>
  <si>
    <t xml:space="preserve">Категорія / підкатегорія</t>
  </si>
  <si>
    <t xml:space="preserve">Опис / приклади під Pillar</t>
  </si>
  <si>
    <t xml:space="preserve">1</t>
  </si>
  <si>
    <t xml:space="preserve">Людські ресурси</t>
  </si>
  <si>
    <t xml:space="preserve">—</t>
  </si>
  <si>
    <t xml:space="preserve">Усі люди та ролі проєкту</t>
  </si>
  <si>
    <t xml:space="preserve">1.1</t>
  </si>
  <si>
    <t xml:space="preserve">Внутрішня команда PILLAR</t>
  </si>
  <si>
    <t xml:space="preserve">Носії процесів, Discovery; відп. Quick Calculator — І. Тарасенко</t>
  </si>
  <si>
    <t xml:space="preserve">1.2</t>
  </si>
  <si>
    <t xml:space="preserve">Розробка (PILLAR Germany)</t>
  </si>
  <si>
    <t xml:space="preserve">Налаштування/розробка систем — Тигран (співвл. В. Бетса)</t>
  </si>
  <si>
    <t xml:space="preserve">1.3</t>
  </si>
  <si>
    <t xml:space="preserve">Зовнішні (Jarvis)</t>
  </si>
  <si>
    <t xml:space="preserve">Discovery + AI-методологія — I. Varzar, S. Smaglyuk (ФОП)</t>
  </si>
  <si>
    <t xml:space="preserve">1.4</t>
  </si>
  <si>
    <t xml:space="preserve">Керівництво / спонсор</t>
  </si>
  <si>
    <t xml:space="preserve">Власник О. Гостєв; КП/ОУП — О. Хома</t>
  </si>
  <si>
    <t xml:space="preserve">2</t>
  </si>
  <si>
    <t xml:space="preserve">Обладнання та ПЗ</t>
  </si>
  <si>
    <t xml:space="preserve">Технічні засоби та програмне забезпечення</t>
  </si>
  <si>
    <t xml:space="preserve">2.1</t>
  </si>
  <si>
    <t xml:space="preserve">Ліцензії / SaaS</t>
  </si>
  <si>
    <t xml:space="preserve">Bizagi, CRM/CPQ-платформа, AI-сервіси (п.4.2 NDA)</t>
  </si>
  <si>
    <t xml:space="preserve">2.2</t>
  </si>
  <si>
    <t xml:space="preserve">Інфраструктура / хмара</t>
  </si>
  <si>
    <t xml:space="preserve">Хостинг, середовища DEV/TEST/PROD</t>
  </si>
  <si>
    <t xml:space="preserve">2.3</t>
  </si>
  <si>
    <t xml:space="preserve">Робочі станції</t>
  </si>
  <si>
    <t xml:space="preserve">Обладнання команди за потреби</t>
  </si>
  <si>
    <t xml:space="preserve">3</t>
  </si>
  <si>
    <t xml:space="preserve">Матеріали та контент</t>
  </si>
  <si>
    <t xml:space="preserve">Дані та документи, що споживаються проєктом</t>
  </si>
  <si>
    <t xml:space="preserve">3.1</t>
  </si>
  <si>
    <t xml:space="preserve">Дані / контент</t>
  </si>
  <si>
    <t xml:space="preserve">Дані процесів «як є», довідники, вибірки для DATA CORE</t>
  </si>
  <si>
    <t xml:space="preserve">3.2</t>
  </si>
  <si>
    <t xml:space="preserve">Документація</t>
  </si>
  <si>
    <t xml:space="preserve">Статут, реєстри, ТЗ (AS-IS→TO-BE→ТЗ)</t>
  </si>
  <si>
    <t xml:space="preserve">4</t>
  </si>
  <si>
    <t xml:space="preserve">Послуги / підряд</t>
  </si>
  <si>
    <t xml:space="preserve">Зовнішні роботи за договором</t>
  </si>
  <si>
    <t xml:space="preserve">4.1</t>
  </si>
  <si>
    <t xml:space="preserve">Консалтинг</t>
  </si>
  <si>
    <t xml:space="preserve">Профільні консультації за потреби</t>
  </si>
  <si>
    <t xml:space="preserve">4.2</t>
  </si>
  <si>
    <t xml:space="preserve">Discovery / методологія</t>
  </si>
  <si>
    <t xml:space="preserve">Пакет Discovery Jarvis (контракт, ФОП)</t>
  </si>
  <si>
    <t xml:space="preserve">5</t>
  </si>
  <si>
    <t xml:space="preserve">Фінансові резерви</t>
  </si>
  <si>
    <t xml:space="preserve">Резерви на ризики та невизначеність</t>
  </si>
  <si>
    <t xml:space="preserve">5.1</t>
  </si>
  <si>
    <t xml:space="preserve">Резерв на непередбачене</t>
  </si>
  <si>
    <t xml:space="preserve">Contingency reserve — під відомі ризики (див. реєстр ризиків)</t>
  </si>
  <si>
    <t xml:space="preserve">5.2</t>
  </si>
  <si>
    <t xml:space="preserve">Управлінський резерв</t>
  </si>
  <si>
    <t xml:space="preserve">Management reserve — під невідомі ризики, поза базовим бюджетом</t>
  </si>
  <si>
    <t xml:space="preserve">Ресурсний план проєкту PILLAR — розподіл, доступність, ставки, трудовитрати, вартість</t>
  </si>
  <si>
    <t xml:space="preserve">ID</t>
  </si>
  <si>
    <t xml:space="preserve">Ресурс / роль</t>
  </si>
  <si>
    <t xml:space="preserve">Тип</t>
  </si>
  <si>
    <t xml:space="preserve">Джерело фінансув.</t>
  </si>
  <si>
    <t xml:space="preserve">Доступність, %</t>
  </si>
  <si>
    <t xml:space="preserve">К-сть одиниць (план)</t>
  </si>
  <si>
    <t xml:space="preserve">Ставка за одиницю</t>
  </si>
  <si>
    <t xml:space="preserve">Планова вартість</t>
  </si>
  <si>
    <t xml:space="preserve">Факт. трудовитрати</t>
  </si>
  <si>
    <t xml:space="preserve">Факт. вартість</t>
  </si>
  <si>
    <t xml:space="preserve">Власник / коментар</t>
  </si>
  <si>
    <t xml:space="preserve">Ігор Тарасенко (відп. Quick Calculator)</t>
  </si>
  <si>
    <t xml:space="preserve">Discovery лід→КП; трек CPQ</t>
  </si>
  <si>
    <t xml:space="preserve">РАЗОМ</t>
  </si>
  <si>
    <t xml:space="preserve">План завантаження ресурсів по місяцях (людино-дні) — база для вирівнювання</t>
  </si>
  <si>
    <t xml:space="preserve">Роль / ресурс</t>
  </si>
  <si>
    <t xml:space="preserve">Лип-26</t>
  </si>
  <si>
    <t xml:space="preserve">Сер-26</t>
  </si>
  <si>
    <t xml:space="preserve">Вер-26</t>
  </si>
  <si>
    <t xml:space="preserve">Жов-26</t>
  </si>
  <si>
    <t xml:space="preserve">Лис-26</t>
  </si>
  <si>
    <t xml:space="preserve">Гру-26</t>
  </si>
  <si>
    <t xml:space="preserve">Разом</t>
  </si>
  <si>
    <t xml:space="preserve">Розробка (Тигран)</t>
  </si>
  <si>
    <t xml:space="preserve">Jarvis (Discovery)</t>
  </si>
  <si>
    <t xml:space="preserve">ОУП / керівництво</t>
  </si>
  <si>
    <t xml:space="preserve">РАЗОМ / місяць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</si>
</sst>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.##"/>
    <numFmt numFmtId="167" formatCode="#,##0&quot; ₴&quot;;\(#,##0&quot; ₴)&quot;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A94A6"/>
      <name val="Arial"/>
      <family val="0"/>
      <charset val="1"/>
    </font>
    <font>
      <b val="true"/>
      <sz val="11"/>
      <color rgb="FFE2683C"/>
      <name val="Arial"/>
      <family val="0"/>
      <charset val="1"/>
    </font>
    <font>
      <b val="true"/>
      <sz val="10"/>
      <color rgb="FF16233A"/>
      <name val="Arial"/>
      <family val="0"/>
      <charset val="1"/>
    </font>
    <font>
      <sz val="10"/>
      <color rgb="FF1A233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6233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2"/>
    </font>
    <font>
      <b val="true"/>
      <sz val="10"/>
      <color rgb="FF1A233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6233A"/>
        <bgColor rgb="FF1A2332"/>
      </patternFill>
    </fill>
    <fill>
      <patternFill patternType="solid">
        <fgColor rgb="FFF4F6F9"/>
        <bgColor rgb="FFFFFFFF"/>
      </patternFill>
    </fill>
    <fill>
      <patternFill patternType="solid">
        <fgColor rgb="FFFFF3CD"/>
        <bgColor rgb="FFF4F6F9"/>
      </patternFill>
    </fill>
    <fill>
      <patternFill patternType="solid">
        <fgColor rgb="FFFFFFFF"/>
        <bgColor rgb="FFF4F6F9"/>
      </patternFill>
    </fill>
    <fill>
      <patternFill patternType="solid">
        <fgColor rgb="FFE2683C"/>
        <bgColor rgb="FFC0504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2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3CD"/>
      <rgbColor rgb="FFF4F6F9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E2683C"/>
      <rgbColor rgb="FF8064A2"/>
      <rgbColor rgb="FF8A94A6"/>
      <rgbColor rgb="FF16233A"/>
      <rgbColor rgb="FF339966"/>
      <rgbColor rgb="FF003300"/>
      <rgbColor rgb="FF333300"/>
      <rgbColor rgb="FF993300"/>
      <rgbColor rgb="FF993366"/>
      <rgbColor rgb="FF333399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Завантаження по місяцях (стек по ролях)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Завантаження!$A$3</c:f>
              <c:strCache>
                <c:ptCount val="1"/>
                <c:pt idx="0">
                  <c:v>Внутрішня команда PILLAR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Завантаження!$B$2:$G$2</c:f>
              <c:strCache>
                <c:ptCount val="6"/>
                <c:pt idx="0">
                  <c:v>Лип-26</c:v>
                </c:pt>
                <c:pt idx="1">
                  <c:v>Сер-26</c:v>
                </c:pt>
                <c:pt idx="2">
                  <c:v>Вер-26</c:v>
                </c:pt>
                <c:pt idx="3">
                  <c:v>Жов-26</c:v>
                </c:pt>
                <c:pt idx="4">
                  <c:v>Лис-26</c:v>
                </c:pt>
                <c:pt idx="5">
                  <c:v>Гру-26</c:v>
                </c:pt>
              </c:strCache>
            </c:strRef>
          </c:cat>
          <c:val>
            <c:numRef>
              <c:f>Завантаження!$B$3:$G$3</c:f>
              <c:numCache>
                <c:formatCode>#,##0.##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</c:ser>
        <c:ser>
          <c:idx val="1"/>
          <c:order val="1"/>
          <c:tx>
            <c:strRef>
              <c:f>Завантаження!$A$4</c:f>
              <c:strCache>
                <c:ptCount val="1"/>
                <c:pt idx="0">
                  <c:v>Розробка (Тигран)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Завантаження!$B$2:$G$2</c:f>
              <c:strCache>
                <c:ptCount val="6"/>
                <c:pt idx="0">
                  <c:v>Лип-26</c:v>
                </c:pt>
                <c:pt idx="1">
                  <c:v>Сер-26</c:v>
                </c:pt>
                <c:pt idx="2">
                  <c:v>Вер-26</c:v>
                </c:pt>
                <c:pt idx="3">
                  <c:v>Жов-26</c:v>
                </c:pt>
                <c:pt idx="4">
                  <c:v>Лис-26</c:v>
                </c:pt>
                <c:pt idx="5">
                  <c:v>Гру-26</c:v>
                </c:pt>
              </c:strCache>
            </c:strRef>
          </c:cat>
          <c:val>
            <c:numRef>
              <c:f>Завантаження!$B$4:$G$4</c:f>
              <c:numCache>
                <c:formatCode>#,##0.##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10</c:v>
                </c:pt>
              </c:numCache>
            </c:numRef>
          </c:val>
        </c:ser>
        <c:ser>
          <c:idx val="2"/>
          <c:order val="2"/>
          <c:tx>
            <c:strRef>
              <c:f>Завантаження!$A$5</c:f>
              <c:strCache>
                <c:ptCount val="1"/>
                <c:pt idx="0">
                  <c:v>Jarvis (Discovery)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Завантаження!$B$2:$G$2</c:f>
              <c:strCache>
                <c:ptCount val="6"/>
                <c:pt idx="0">
                  <c:v>Лип-26</c:v>
                </c:pt>
                <c:pt idx="1">
                  <c:v>Сер-26</c:v>
                </c:pt>
                <c:pt idx="2">
                  <c:v>Вер-26</c:v>
                </c:pt>
                <c:pt idx="3">
                  <c:v>Жов-26</c:v>
                </c:pt>
                <c:pt idx="4">
                  <c:v>Лис-26</c:v>
                </c:pt>
                <c:pt idx="5">
                  <c:v>Гру-26</c:v>
                </c:pt>
              </c:strCache>
            </c:strRef>
          </c:cat>
          <c:val>
            <c:numRef>
              <c:f>Завантаження!$B$5:$G$5</c:f>
              <c:numCache>
                <c:formatCode>#,##0.##</c:formatCode>
                <c:ptCount val="6"/>
                <c:pt idx="0">
                  <c:v>8</c:v>
                </c:pt>
                <c:pt idx="1">
                  <c:v>12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Завантаження!$A$6</c:f>
              <c:strCache>
                <c:ptCount val="1"/>
                <c:pt idx="0">
                  <c:v>ОУП / керівництво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Завантаження!$B$2:$G$2</c:f>
              <c:strCache>
                <c:ptCount val="6"/>
                <c:pt idx="0">
                  <c:v>Лип-26</c:v>
                </c:pt>
                <c:pt idx="1">
                  <c:v>Сер-26</c:v>
                </c:pt>
                <c:pt idx="2">
                  <c:v>Вер-26</c:v>
                </c:pt>
                <c:pt idx="3">
                  <c:v>Жов-26</c:v>
                </c:pt>
                <c:pt idx="4">
                  <c:v>Лис-26</c:v>
                </c:pt>
                <c:pt idx="5">
                  <c:v>Гру-26</c:v>
                </c:pt>
              </c:strCache>
            </c:strRef>
          </c:cat>
          <c:val>
            <c:numRef>
              <c:f>Завантаження!$B$6:$G$6</c:f>
              <c:numCache>
                <c:formatCode>#,##0.##</c:formatCode>
                <c:ptCount val="6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</c:ser>
        <c:gapWidth val="150"/>
        <c:overlap val="100"/>
        <c:axId val="22311417"/>
        <c:axId val="41954431"/>
      </c:barChart>
      <c:catAx>
        <c:axId val="223114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954431"/>
        <c:crosses val="autoZero"/>
        <c:auto val="1"/>
        <c:lblAlgn val="ctr"/>
        <c:lblOffset val="100"/>
        <c:noMultiLvlLbl val="0"/>
      </c:catAx>
      <c:valAx>
        <c:axId val="419544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##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3114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7</xdr:col>
      <xdr:colOff>730080</xdr:colOff>
      <xdr:row>23</xdr:row>
      <xdr:rowOff>22320</xdr:rowOff>
    </xdr:to>
    <xdr:graphicFrame>
      <xdr:nvGraphicFramePr>
        <xdr:cNvPr id="1" name="Chart 1"/>
        <xdr:cNvGraphicFramePr/>
      </xdr:nvGraphicFramePr>
      <xdr:xfrm>
        <a:off x="0" y="22575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33.75" hidden="false" customHeight="true" outlineLevel="0" collapsed="false">
      <c r="B2" s="1" t="s">
        <v>0</v>
      </c>
      <c r="C2" s="1"/>
    </row>
    <row r="3" customFormat="false" ht="18" hidden="false" customHeight="true" outlineLevel="0" collapsed="false">
      <c r="B3" s="2" t="s">
        <v>1</v>
      </c>
      <c r="C3" s="2"/>
    </row>
    <row r="5" customFormat="false" ht="21.75" hidden="false" customHeight="true" outlineLevel="0" collapsed="false">
      <c r="B5" s="3" t="s">
        <v>2</v>
      </c>
      <c r="C5" s="3"/>
    </row>
    <row r="6" customFormat="false" ht="66.75" hidden="false" customHeight="true" outlineLevel="0" collapsed="false">
      <c r="B6" s="4" t="s">
        <v>3</v>
      </c>
      <c r="C6" s="5" t="s">
        <v>4</v>
      </c>
    </row>
    <row r="7" customFormat="false" ht="54" hidden="false" customHeight="true" outlineLevel="0" collapsed="false">
      <c r="B7" s="4" t="s">
        <v>5</v>
      </c>
      <c r="C7" s="5" t="s">
        <v>6</v>
      </c>
    </row>
    <row r="8" customFormat="false" ht="21.75" hidden="false" customHeight="true" outlineLevel="0" collapsed="false">
      <c r="B8" s="3" t="s">
        <v>7</v>
      </c>
      <c r="C8" s="3"/>
    </row>
    <row r="9" customFormat="false" ht="40.5" hidden="false" customHeight="true" outlineLevel="0" collapsed="false">
      <c r="B9" s="4" t="s">
        <v>8</v>
      </c>
      <c r="C9" s="5" t="s">
        <v>9</v>
      </c>
    </row>
    <row r="10" customFormat="false" ht="40.5" hidden="false" customHeight="true" outlineLevel="0" collapsed="false">
      <c r="B10" s="4" t="s">
        <v>10</v>
      </c>
      <c r="C10" s="5" t="s">
        <v>11</v>
      </c>
    </row>
    <row r="11" customFormat="false" ht="27.75" hidden="false" customHeight="true" outlineLevel="0" collapsed="false">
      <c r="B11" s="4" t="s">
        <v>12</v>
      </c>
      <c r="C11" s="5" t="s">
        <v>13</v>
      </c>
    </row>
    <row r="12" customFormat="false" ht="40.5" hidden="false" customHeight="true" outlineLevel="0" collapsed="false">
      <c r="B12" s="4" t="s">
        <v>14</v>
      </c>
      <c r="C12" s="5" t="s">
        <v>15</v>
      </c>
    </row>
    <row r="13" customFormat="false" ht="21.75" hidden="false" customHeight="true" outlineLevel="0" collapsed="false">
      <c r="B13" s="3" t="s">
        <v>16</v>
      </c>
      <c r="C13" s="3"/>
    </row>
    <row r="14" customFormat="false" ht="40.5" hidden="false" customHeight="true" outlineLevel="0" collapsed="false">
      <c r="B14" s="4" t="s">
        <v>17</v>
      </c>
      <c r="C14" s="5" t="s">
        <v>18</v>
      </c>
    </row>
    <row r="15" customFormat="false" ht="27.75" hidden="false" customHeight="true" outlineLevel="0" collapsed="false">
      <c r="B15" s="4" t="s">
        <v>19</v>
      </c>
      <c r="C15" s="5" t="s">
        <v>20</v>
      </c>
    </row>
    <row r="16" customFormat="false" ht="40.5" hidden="false" customHeight="true" outlineLevel="0" collapsed="false">
      <c r="B16" s="4" t="s">
        <v>21</v>
      </c>
      <c r="C16" s="5" t="s">
        <v>22</v>
      </c>
    </row>
    <row r="17" customFormat="false" ht="40.5" hidden="false" customHeight="true" outlineLevel="0" collapsed="false">
      <c r="B17" s="4" t="s">
        <v>23</v>
      </c>
      <c r="C17" s="5" t="s">
        <v>24</v>
      </c>
    </row>
    <row r="19" customFormat="false" ht="15" hidden="false" customHeight="false" outlineLevel="0" collapsed="false">
      <c r="B19" s="3" t="s">
        <v>25</v>
      </c>
      <c r="C19" s="3"/>
    </row>
    <row r="20" customFormat="false" ht="15" hidden="false" customHeight="false" outlineLevel="0" collapsed="false">
      <c r="B20" s="6"/>
      <c r="C20" s="7" t="s">
        <v>26</v>
      </c>
    </row>
    <row r="21" customFormat="false" ht="15" hidden="false" customHeight="false" outlineLevel="0" collapsed="false">
      <c r="B21" s="8"/>
      <c r="C21" s="5" t="s">
        <v>27</v>
      </c>
    </row>
    <row r="22" customFormat="false" ht="15" hidden="false" customHeight="false" outlineLevel="0" collapsed="false">
      <c r="B22" s="9"/>
      <c r="C22" s="5" t="s">
        <v>28</v>
      </c>
    </row>
  </sheetData>
  <mergeCells count="6">
    <mergeCell ref="B2:C2"/>
    <mergeCell ref="B3:C3"/>
    <mergeCell ref="B5:C5"/>
    <mergeCell ref="B8:C8"/>
    <mergeCell ref="B13:C13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34"/>
  </cols>
  <sheetData>
    <row r="1" customFormat="false" ht="30" hidden="false" customHeight="true" outlineLevel="0" collapsed="false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</row>
    <row r="2" customFormat="false" ht="15" hidden="false" customHeight="false" outlineLevel="0" collapsed="false">
      <c r="A2" s="11" t="s">
        <v>34</v>
      </c>
      <c r="B2" s="11" t="s">
        <v>35</v>
      </c>
      <c r="C2" s="11" t="s">
        <v>36</v>
      </c>
      <c r="D2" s="11" t="s">
        <v>37</v>
      </c>
      <c r="E2" s="11" t="s">
        <v>38</v>
      </c>
    </row>
    <row r="3" customFormat="false" ht="15" hidden="false" customHeight="false" outlineLevel="0" collapsed="false">
      <c r="A3" s="11" t="s">
        <v>39</v>
      </c>
      <c r="B3" s="11" t="s">
        <v>40</v>
      </c>
      <c r="C3" s="11" t="s">
        <v>41</v>
      </c>
      <c r="D3" s="11" t="s">
        <v>42</v>
      </c>
      <c r="E3" s="11" t="s">
        <v>43</v>
      </c>
    </row>
    <row r="4" customFormat="false" ht="15" hidden="false" customHeight="false" outlineLevel="0" collapsed="false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</row>
    <row r="5" customFormat="false" ht="15" hidden="false" customHeight="false" outlineLevel="0" collapsed="false">
      <c r="A5" s="11" t="s">
        <v>49</v>
      </c>
      <c r="B5" s="11" t="s">
        <v>50</v>
      </c>
      <c r="C5" s="11" t="s">
        <v>51</v>
      </c>
      <c r="D5" s="11" t="s">
        <v>52</v>
      </c>
      <c r="E5" s="11" t="s">
        <v>53</v>
      </c>
    </row>
    <row r="6" customFormat="false" ht="15" hidden="false" customHeight="false" outlineLevel="0" collapsed="false">
      <c r="A6" s="11" t="s">
        <v>54</v>
      </c>
      <c r="B6" s="11" t="s">
        <v>55</v>
      </c>
      <c r="C6" s="11" t="s">
        <v>56</v>
      </c>
      <c r="D6" s="11" t="s">
        <v>57</v>
      </c>
      <c r="E6" s="11" t="s">
        <v>58</v>
      </c>
    </row>
    <row r="7" customFormat="false" ht="15" hidden="false" customHeight="false" outlineLevel="0" collapsed="false">
      <c r="A7" s="11" t="s">
        <v>59</v>
      </c>
      <c r="B7" s="11" t="s">
        <v>60</v>
      </c>
      <c r="C7" s="11" t="s">
        <v>61</v>
      </c>
      <c r="D7" s="11" t="s">
        <v>62</v>
      </c>
    </row>
    <row r="8" customFormat="false" ht="15" hidden="false" customHeight="false" outlineLevel="0" collapsed="false">
      <c r="A8" s="11" t="s">
        <v>63</v>
      </c>
      <c r="B8" s="11" t="s">
        <v>64</v>
      </c>
      <c r="C8" s="11" t="s">
        <v>65</v>
      </c>
    </row>
    <row r="9" customFormat="false" ht="15" hidden="false" customHeight="false" outlineLevel="0" collapsed="false">
      <c r="A9" s="11" t="s">
        <v>66</v>
      </c>
    </row>
    <row r="10" customFormat="false" ht="15" hidden="false" customHeight="false" outlineLevel="0" collapsed="false">
      <c r="A10" s="11" t="s">
        <v>67</v>
      </c>
    </row>
    <row r="11" customFormat="false" ht="15" hidden="false" customHeight="false" outlineLevel="0" collapsed="false">
      <c r="A11" s="11" t="s">
        <v>68</v>
      </c>
    </row>
    <row r="12" customFormat="false" ht="15" hidden="false" customHeight="false" outlineLevel="0" collapsed="false">
      <c r="A12" s="11" t="s">
        <v>69</v>
      </c>
    </row>
    <row r="13" customFormat="false" ht="15" hidden="false" customHeight="false" outlineLevel="0" collapsed="false">
      <c r="A13" s="11" t="s">
        <v>70</v>
      </c>
    </row>
    <row r="14" customFormat="false" ht="15" hidden="false" customHeight="false" outlineLevel="0" collapsed="false">
      <c r="A14" s="11" t="s">
        <v>71</v>
      </c>
    </row>
    <row r="15" customFormat="false" ht="15" hidden="false" customHeight="false" outlineLevel="0" collapsed="false">
      <c r="A15" s="11" t="s">
        <v>72</v>
      </c>
    </row>
    <row r="16" customFormat="false" ht="15" hidden="false" customHeight="false" outlineLevel="0" collapsed="false">
      <c r="A16" s="11" t="s">
        <v>73</v>
      </c>
    </row>
    <row r="17" customFormat="false" ht="15" hidden="false" customHeight="false" outlineLevel="0" collapsed="false">
      <c r="A17" s="11" t="s">
        <v>74</v>
      </c>
    </row>
    <row r="18" customFormat="false" ht="15" hidden="false" customHeight="false" outlineLevel="0" collapsed="false">
      <c r="A18" s="11" t="s">
        <v>75</v>
      </c>
    </row>
    <row r="19" customFormat="false" ht="15" hidden="false" customHeight="false" outlineLevel="0" collapsed="false">
      <c r="A19" s="11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46"/>
  </cols>
  <sheetData>
    <row r="1" customFormat="false" ht="30" hidden="false" customHeight="true" outlineLevel="0" collapsed="false">
      <c r="A1" s="12" t="s">
        <v>77</v>
      </c>
      <c r="B1" s="12"/>
      <c r="C1" s="12"/>
      <c r="D1" s="12"/>
    </row>
    <row r="2" customFormat="false" ht="25.5" hidden="false" customHeight="true" outlineLevel="0" collapsed="false">
      <c r="A2" s="13" t="s">
        <v>78</v>
      </c>
      <c r="B2" s="13" t="s">
        <v>79</v>
      </c>
      <c r="C2" s="13" t="s">
        <v>30</v>
      </c>
      <c r="D2" s="13" t="s">
        <v>80</v>
      </c>
    </row>
    <row r="3" customFormat="false" ht="24" hidden="false" customHeight="true" outlineLevel="0" collapsed="false">
      <c r="A3" s="14" t="s">
        <v>81</v>
      </c>
      <c r="B3" s="14" t="s">
        <v>82</v>
      </c>
      <c r="C3" s="15" t="s">
        <v>83</v>
      </c>
      <c r="D3" s="15" t="s">
        <v>84</v>
      </c>
    </row>
    <row r="4" customFormat="false" ht="24" hidden="false" customHeight="true" outlineLevel="0" collapsed="false">
      <c r="A4" s="16" t="s">
        <v>85</v>
      </c>
      <c r="B4" s="17" t="s">
        <v>86</v>
      </c>
      <c r="C4" s="18" t="s">
        <v>40</v>
      </c>
      <c r="D4" s="18" t="s">
        <v>87</v>
      </c>
    </row>
    <row r="5" customFormat="false" ht="24" hidden="false" customHeight="true" outlineLevel="0" collapsed="false">
      <c r="A5" s="16" t="s">
        <v>88</v>
      </c>
      <c r="B5" s="17" t="s">
        <v>89</v>
      </c>
      <c r="C5" s="18" t="s">
        <v>40</v>
      </c>
      <c r="D5" s="18" t="s">
        <v>90</v>
      </c>
    </row>
    <row r="6" customFormat="false" ht="24" hidden="false" customHeight="true" outlineLevel="0" collapsed="false">
      <c r="A6" s="16" t="s">
        <v>91</v>
      </c>
      <c r="B6" s="17" t="s">
        <v>92</v>
      </c>
      <c r="C6" s="18" t="s">
        <v>60</v>
      </c>
      <c r="D6" s="18" t="s">
        <v>93</v>
      </c>
    </row>
    <row r="7" customFormat="false" ht="24" hidden="false" customHeight="true" outlineLevel="0" collapsed="false">
      <c r="A7" s="16" t="s">
        <v>94</v>
      </c>
      <c r="B7" s="17" t="s">
        <v>95</v>
      </c>
      <c r="C7" s="18" t="s">
        <v>40</v>
      </c>
      <c r="D7" s="18" t="s">
        <v>96</v>
      </c>
    </row>
    <row r="8" customFormat="false" ht="24" hidden="false" customHeight="true" outlineLevel="0" collapsed="false">
      <c r="A8" s="14" t="s">
        <v>97</v>
      </c>
      <c r="B8" s="14" t="s">
        <v>98</v>
      </c>
      <c r="C8" s="15" t="s">
        <v>83</v>
      </c>
      <c r="D8" s="15" t="s">
        <v>99</v>
      </c>
    </row>
    <row r="9" customFormat="false" ht="24" hidden="false" customHeight="true" outlineLevel="0" collapsed="false">
      <c r="A9" s="16" t="s">
        <v>100</v>
      </c>
      <c r="B9" s="17" t="s">
        <v>101</v>
      </c>
      <c r="C9" s="18" t="s">
        <v>50</v>
      </c>
      <c r="D9" s="18" t="s">
        <v>102</v>
      </c>
    </row>
    <row r="10" customFormat="false" ht="24" hidden="false" customHeight="true" outlineLevel="0" collapsed="false">
      <c r="A10" s="16" t="s">
        <v>103</v>
      </c>
      <c r="B10" s="17" t="s">
        <v>104</v>
      </c>
      <c r="C10" s="18" t="s">
        <v>45</v>
      </c>
      <c r="D10" s="18" t="s">
        <v>105</v>
      </c>
    </row>
    <row r="11" customFormat="false" ht="24" hidden="false" customHeight="true" outlineLevel="0" collapsed="false">
      <c r="A11" s="16" t="s">
        <v>106</v>
      </c>
      <c r="B11" s="17" t="s">
        <v>107</v>
      </c>
      <c r="C11" s="18" t="s">
        <v>45</v>
      </c>
      <c r="D11" s="18" t="s">
        <v>108</v>
      </c>
    </row>
    <row r="12" customFormat="false" ht="24" hidden="false" customHeight="true" outlineLevel="0" collapsed="false">
      <c r="A12" s="14" t="s">
        <v>109</v>
      </c>
      <c r="B12" s="14" t="s">
        <v>110</v>
      </c>
      <c r="C12" s="15" t="s">
        <v>83</v>
      </c>
      <c r="D12" s="15" t="s">
        <v>111</v>
      </c>
    </row>
    <row r="13" customFormat="false" ht="24" hidden="false" customHeight="true" outlineLevel="0" collapsed="false">
      <c r="A13" s="16" t="s">
        <v>112</v>
      </c>
      <c r="B13" s="17" t="s">
        <v>113</v>
      </c>
      <c r="C13" s="18" t="s">
        <v>55</v>
      </c>
      <c r="D13" s="18" t="s">
        <v>114</v>
      </c>
    </row>
    <row r="14" customFormat="false" ht="24" hidden="false" customHeight="true" outlineLevel="0" collapsed="false">
      <c r="A14" s="16" t="s">
        <v>115</v>
      </c>
      <c r="B14" s="17" t="s">
        <v>116</v>
      </c>
      <c r="C14" s="18" t="s">
        <v>55</v>
      </c>
      <c r="D14" s="18" t="s">
        <v>117</v>
      </c>
    </row>
    <row r="15" customFormat="false" ht="24" hidden="false" customHeight="true" outlineLevel="0" collapsed="false">
      <c r="A15" s="14" t="s">
        <v>118</v>
      </c>
      <c r="B15" s="14" t="s">
        <v>119</v>
      </c>
      <c r="C15" s="15" t="s">
        <v>83</v>
      </c>
      <c r="D15" s="15" t="s">
        <v>120</v>
      </c>
    </row>
    <row r="16" customFormat="false" ht="24" hidden="false" customHeight="true" outlineLevel="0" collapsed="false">
      <c r="A16" s="16" t="s">
        <v>121</v>
      </c>
      <c r="B16" s="17" t="s">
        <v>122</v>
      </c>
      <c r="C16" s="18" t="s">
        <v>60</v>
      </c>
      <c r="D16" s="18" t="s">
        <v>123</v>
      </c>
    </row>
    <row r="17" customFormat="false" ht="24" hidden="false" customHeight="true" outlineLevel="0" collapsed="false">
      <c r="A17" s="16" t="s">
        <v>124</v>
      </c>
      <c r="B17" s="17" t="s">
        <v>125</v>
      </c>
      <c r="C17" s="18" t="s">
        <v>60</v>
      </c>
      <c r="D17" s="18" t="s">
        <v>126</v>
      </c>
    </row>
    <row r="18" customFormat="false" ht="24" hidden="false" customHeight="true" outlineLevel="0" collapsed="false">
      <c r="A18" s="14" t="s">
        <v>127</v>
      </c>
      <c r="B18" s="14" t="s">
        <v>128</v>
      </c>
      <c r="C18" s="15" t="s">
        <v>83</v>
      </c>
      <c r="D18" s="15" t="s">
        <v>129</v>
      </c>
    </row>
    <row r="19" customFormat="false" ht="24" hidden="false" customHeight="true" outlineLevel="0" collapsed="false">
      <c r="A19" s="16" t="s">
        <v>130</v>
      </c>
      <c r="B19" s="17" t="s">
        <v>131</v>
      </c>
      <c r="C19" s="18" t="s">
        <v>64</v>
      </c>
      <c r="D19" s="18" t="s">
        <v>132</v>
      </c>
    </row>
    <row r="20" customFormat="false" ht="24" hidden="false" customHeight="true" outlineLevel="0" collapsed="false">
      <c r="A20" s="16" t="s">
        <v>133</v>
      </c>
      <c r="B20" s="17" t="s">
        <v>134</v>
      </c>
      <c r="C20" s="18" t="s">
        <v>64</v>
      </c>
      <c r="D20" s="18" t="s">
        <v>135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3" min="12" style="0" width="15"/>
    <col collapsed="false" customWidth="true" hidden="false" outlineLevel="0" max="14" min="14" style="0" width="24"/>
  </cols>
  <sheetData>
    <row r="1" customFormat="false" ht="30" hidden="false" customHeight="true" outlineLevel="0" collapsed="false">
      <c r="A1" s="12" t="s">
        <v>136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customFormat="false" ht="33.75" hidden="false" customHeight="true" outlineLevel="0" collapsed="false">
      <c r="A2" s="19" t="s">
        <v>137</v>
      </c>
      <c r="B2" s="19" t="s">
        <v>138</v>
      </c>
      <c r="C2" s="19" t="s">
        <v>78</v>
      </c>
      <c r="D2" s="19" t="s">
        <v>139</v>
      </c>
      <c r="E2" s="19" t="s">
        <v>140</v>
      </c>
      <c r="F2" s="19" t="s">
        <v>31</v>
      </c>
      <c r="G2" s="19" t="s">
        <v>141</v>
      </c>
      <c r="H2" s="19" t="s">
        <v>142</v>
      </c>
      <c r="I2" s="19" t="s">
        <v>143</v>
      </c>
      <c r="J2" s="19" t="s">
        <v>144</v>
      </c>
      <c r="K2" s="19" t="s">
        <v>145</v>
      </c>
      <c r="L2" s="19" t="s">
        <v>146</v>
      </c>
      <c r="M2" s="19" t="s">
        <v>32</v>
      </c>
      <c r="N2" s="19" t="s">
        <v>147</v>
      </c>
    </row>
    <row r="3" customFormat="false" ht="25.5" hidden="false" customHeight="true" outlineLevel="0" collapsed="false">
      <c r="A3" s="20" t="n">
        <v>1</v>
      </c>
      <c r="B3" s="21" t="s">
        <v>148</v>
      </c>
      <c r="C3" s="21" t="s">
        <v>39</v>
      </c>
      <c r="D3" s="21" t="s">
        <v>40</v>
      </c>
      <c r="E3" s="21" t="s">
        <v>38</v>
      </c>
      <c r="F3" s="21" t="s">
        <v>36</v>
      </c>
      <c r="G3" s="22" t="n">
        <v>0.5</v>
      </c>
      <c r="H3" s="23" t="n">
        <v>20</v>
      </c>
      <c r="I3" s="24" t="n">
        <v>4000</v>
      </c>
      <c r="J3" s="25" t="n">
        <f aca="false">IF(N(H3)=0,0,H3*I3*G3)</f>
        <v>40000</v>
      </c>
      <c r="K3" s="23" t="n">
        <v>5</v>
      </c>
      <c r="L3" s="25" t="n">
        <f aca="false">IF(N(K3)=0,0,K3*I3)</f>
        <v>20000</v>
      </c>
      <c r="M3" s="21" t="s">
        <v>47</v>
      </c>
      <c r="N3" s="21" t="s">
        <v>149</v>
      </c>
    </row>
    <row r="4" customFormat="false" ht="25.5" hidden="false" customHeight="true" outlineLevel="0" collapsed="false">
      <c r="A4" s="20"/>
      <c r="B4" s="21"/>
      <c r="C4" s="21"/>
      <c r="D4" s="21"/>
      <c r="E4" s="21"/>
      <c r="F4" s="21"/>
      <c r="G4" s="22"/>
      <c r="H4" s="23"/>
      <c r="I4" s="24"/>
      <c r="J4" s="25" t="n">
        <f aca="false">IF(N(H4)=0,0,H4*I4*G4)</f>
        <v>0</v>
      </c>
      <c r="K4" s="23"/>
      <c r="L4" s="25" t="n">
        <f aca="false">IF(N(K4)=0,0,K4*I4)</f>
        <v>0</v>
      </c>
      <c r="M4" s="21"/>
      <c r="N4" s="21"/>
    </row>
    <row r="5" customFormat="false" ht="25.5" hidden="false" customHeight="true" outlineLevel="0" collapsed="false">
      <c r="A5" s="20"/>
      <c r="B5" s="21"/>
      <c r="C5" s="21"/>
      <c r="D5" s="21"/>
      <c r="E5" s="21"/>
      <c r="F5" s="21"/>
      <c r="G5" s="22"/>
      <c r="H5" s="23"/>
      <c r="I5" s="24"/>
      <c r="J5" s="25" t="n">
        <f aca="false">IF(N(H5)=0,0,H5*I5*G5)</f>
        <v>0</v>
      </c>
      <c r="K5" s="23"/>
      <c r="L5" s="25" t="n">
        <f aca="false">IF(N(K5)=0,0,K5*I5)</f>
        <v>0</v>
      </c>
      <c r="M5" s="21"/>
      <c r="N5" s="21"/>
    </row>
    <row r="6" customFormat="false" ht="25.5" hidden="false" customHeight="true" outlineLevel="0" collapsed="false">
      <c r="A6" s="20"/>
      <c r="B6" s="21"/>
      <c r="C6" s="21"/>
      <c r="D6" s="21"/>
      <c r="E6" s="21"/>
      <c r="F6" s="21"/>
      <c r="G6" s="22"/>
      <c r="H6" s="23"/>
      <c r="I6" s="24"/>
      <c r="J6" s="25" t="n">
        <f aca="false">IF(N(H6)=0,0,H6*I6*G6)</f>
        <v>0</v>
      </c>
      <c r="K6" s="23"/>
      <c r="L6" s="25" t="n">
        <f aca="false">IF(N(K6)=0,0,K6*I6)</f>
        <v>0</v>
      </c>
      <c r="M6" s="21"/>
      <c r="N6" s="21"/>
    </row>
    <row r="7" customFormat="false" ht="25.5" hidden="false" customHeight="true" outlineLevel="0" collapsed="false">
      <c r="A7" s="20"/>
      <c r="B7" s="21"/>
      <c r="C7" s="21"/>
      <c r="D7" s="21"/>
      <c r="E7" s="21"/>
      <c r="F7" s="21"/>
      <c r="G7" s="22"/>
      <c r="H7" s="23"/>
      <c r="I7" s="24"/>
      <c r="J7" s="25" t="n">
        <f aca="false">IF(N(H7)=0,0,H7*I7*G7)</f>
        <v>0</v>
      </c>
      <c r="K7" s="23"/>
      <c r="L7" s="25" t="n">
        <f aca="false">IF(N(K7)=0,0,K7*I7)</f>
        <v>0</v>
      </c>
      <c r="M7" s="21"/>
      <c r="N7" s="21"/>
    </row>
    <row r="8" customFormat="false" ht="25.5" hidden="false" customHeight="true" outlineLevel="0" collapsed="false">
      <c r="A8" s="20"/>
      <c r="B8" s="21"/>
      <c r="C8" s="21"/>
      <c r="D8" s="21"/>
      <c r="E8" s="21"/>
      <c r="F8" s="21"/>
      <c r="G8" s="22"/>
      <c r="H8" s="23"/>
      <c r="I8" s="24"/>
      <c r="J8" s="25" t="n">
        <f aca="false">IF(N(H8)=0,0,H8*I8*G8)</f>
        <v>0</v>
      </c>
      <c r="K8" s="23"/>
      <c r="L8" s="25" t="n">
        <f aca="false">IF(N(K8)=0,0,K8*I8)</f>
        <v>0</v>
      </c>
      <c r="M8" s="21"/>
      <c r="N8" s="21"/>
    </row>
    <row r="9" customFormat="false" ht="25.5" hidden="false" customHeight="true" outlineLevel="0" collapsed="false">
      <c r="A9" s="20"/>
      <c r="B9" s="21"/>
      <c r="C9" s="21"/>
      <c r="D9" s="21"/>
      <c r="E9" s="21"/>
      <c r="F9" s="21"/>
      <c r="G9" s="22"/>
      <c r="H9" s="23"/>
      <c r="I9" s="24"/>
      <c r="J9" s="25" t="n">
        <f aca="false">IF(N(H9)=0,0,H9*I9*G9)</f>
        <v>0</v>
      </c>
      <c r="K9" s="23"/>
      <c r="L9" s="25" t="n">
        <f aca="false">IF(N(K9)=0,0,K9*I9)</f>
        <v>0</v>
      </c>
      <c r="M9" s="21"/>
      <c r="N9" s="21"/>
    </row>
    <row r="10" customFormat="false" ht="25.5" hidden="false" customHeight="true" outlineLevel="0" collapsed="false">
      <c r="A10" s="20"/>
      <c r="B10" s="21"/>
      <c r="C10" s="21"/>
      <c r="D10" s="21"/>
      <c r="E10" s="21"/>
      <c r="F10" s="21"/>
      <c r="G10" s="22"/>
      <c r="H10" s="23"/>
      <c r="I10" s="24"/>
      <c r="J10" s="25" t="n">
        <f aca="false">IF(N(H10)=0,0,H10*I10*G10)</f>
        <v>0</v>
      </c>
      <c r="K10" s="23"/>
      <c r="L10" s="25" t="n">
        <f aca="false">IF(N(K10)=0,0,K10*I10)</f>
        <v>0</v>
      </c>
      <c r="M10" s="21"/>
      <c r="N10" s="21"/>
    </row>
    <row r="11" customFormat="false" ht="25.5" hidden="false" customHeight="true" outlineLevel="0" collapsed="false">
      <c r="A11" s="20"/>
      <c r="B11" s="21"/>
      <c r="C11" s="21"/>
      <c r="D11" s="21"/>
      <c r="E11" s="21"/>
      <c r="F11" s="21"/>
      <c r="G11" s="22"/>
      <c r="H11" s="23"/>
      <c r="I11" s="24"/>
      <c r="J11" s="25" t="n">
        <f aca="false">IF(N(H11)=0,0,H11*I11*G11)</f>
        <v>0</v>
      </c>
      <c r="K11" s="23"/>
      <c r="L11" s="25" t="n">
        <f aca="false">IF(N(K11)=0,0,K11*I11)</f>
        <v>0</v>
      </c>
      <c r="M11" s="21"/>
      <c r="N11" s="21"/>
    </row>
    <row r="12" customFormat="false" ht="25.5" hidden="false" customHeight="true" outlineLevel="0" collapsed="false">
      <c r="A12" s="20"/>
      <c r="B12" s="21"/>
      <c r="C12" s="21"/>
      <c r="D12" s="21"/>
      <c r="E12" s="21"/>
      <c r="F12" s="21"/>
      <c r="G12" s="22"/>
      <c r="H12" s="23"/>
      <c r="I12" s="24"/>
      <c r="J12" s="25" t="n">
        <f aca="false">IF(N(H12)=0,0,H12*I12*G12)</f>
        <v>0</v>
      </c>
      <c r="K12" s="23"/>
      <c r="L12" s="25" t="n">
        <f aca="false">IF(N(K12)=0,0,K12*I12)</f>
        <v>0</v>
      </c>
      <c r="M12" s="21"/>
      <c r="N12" s="21"/>
    </row>
    <row r="13" customFormat="false" ht="25.5" hidden="false" customHeight="true" outlineLevel="0" collapsed="false">
      <c r="A13" s="20"/>
      <c r="B13" s="21"/>
      <c r="C13" s="21"/>
      <c r="D13" s="21"/>
      <c r="E13" s="21"/>
      <c r="F13" s="21"/>
      <c r="G13" s="22"/>
      <c r="H13" s="23"/>
      <c r="I13" s="24"/>
      <c r="J13" s="25" t="n">
        <f aca="false">IF(N(H13)=0,0,H13*I13*G13)</f>
        <v>0</v>
      </c>
      <c r="K13" s="23"/>
      <c r="L13" s="25" t="n">
        <f aca="false">IF(N(K13)=0,0,K13*I13)</f>
        <v>0</v>
      </c>
      <c r="M13" s="21"/>
      <c r="N13" s="21"/>
    </row>
    <row r="14" customFormat="false" ht="25.5" hidden="false" customHeight="true" outlineLevel="0" collapsed="false">
      <c r="A14" s="20"/>
      <c r="B14" s="21"/>
      <c r="C14" s="21"/>
      <c r="D14" s="21"/>
      <c r="E14" s="21"/>
      <c r="F14" s="21"/>
      <c r="G14" s="22"/>
      <c r="H14" s="23"/>
      <c r="I14" s="24"/>
      <c r="J14" s="25" t="n">
        <f aca="false">IF(N(H14)=0,0,H14*I14*G14)</f>
        <v>0</v>
      </c>
      <c r="K14" s="23"/>
      <c r="L14" s="25" t="n">
        <f aca="false">IF(N(K14)=0,0,K14*I14)</f>
        <v>0</v>
      </c>
      <c r="M14" s="21"/>
      <c r="N14" s="21"/>
    </row>
    <row r="15" customFormat="false" ht="25.5" hidden="false" customHeight="true" outlineLevel="0" collapsed="false">
      <c r="A15" s="20"/>
      <c r="B15" s="21"/>
      <c r="C15" s="21"/>
      <c r="D15" s="21"/>
      <c r="E15" s="21"/>
      <c r="F15" s="21"/>
      <c r="G15" s="22"/>
      <c r="H15" s="23"/>
      <c r="I15" s="24"/>
      <c r="J15" s="25" t="n">
        <f aca="false">IF(N(H15)=0,0,H15*I15*G15)</f>
        <v>0</v>
      </c>
      <c r="K15" s="23"/>
      <c r="L15" s="25" t="n">
        <f aca="false">IF(N(K15)=0,0,K15*I15)</f>
        <v>0</v>
      </c>
      <c r="M15" s="21"/>
      <c r="N15" s="21"/>
    </row>
    <row r="16" customFormat="false" ht="25.5" hidden="false" customHeight="true" outlineLevel="0" collapsed="false">
      <c r="A16" s="20"/>
      <c r="B16" s="21"/>
      <c r="C16" s="21"/>
      <c r="D16" s="21"/>
      <c r="E16" s="21"/>
      <c r="F16" s="21"/>
      <c r="G16" s="22"/>
      <c r="H16" s="23"/>
      <c r="I16" s="24"/>
      <c r="J16" s="25" t="n">
        <f aca="false">IF(N(H16)=0,0,H16*I16*G16)</f>
        <v>0</v>
      </c>
      <c r="K16" s="23"/>
      <c r="L16" s="25" t="n">
        <f aca="false">IF(N(K16)=0,0,K16*I16)</f>
        <v>0</v>
      </c>
      <c r="M16" s="21"/>
      <c r="N16" s="21"/>
    </row>
    <row r="17" customFormat="false" ht="25.5" hidden="false" customHeight="true" outlineLevel="0" collapsed="false">
      <c r="A17" s="20"/>
      <c r="B17" s="21"/>
      <c r="C17" s="21"/>
      <c r="D17" s="21"/>
      <c r="E17" s="21"/>
      <c r="F17" s="21"/>
      <c r="G17" s="22"/>
      <c r="H17" s="23"/>
      <c r="I17" s="24"/>
      <c r="J17" s="25" t="n">
        <f aca="false">IF(N(H17)=0,0,H17*I17*G17)</f>
        <v>0</v>
      </c>
      <c r="K17" s="23"/>
      <c r="L17" s="25" t="n">
        <f aca="false">IF(N(K17)=0,0,K17*I17)</f>
        <v>0</v>
      </c>
      <c r="M17" s="21"/>
      <c r="N17" s="21"/>
    </row>
    <row r="18" customFormat="false" ht="25.5" hidden="false" customHeight="true" outlineLevel="0" collapsed="false">
      <c r="A18" s="20"/>
      <c r="B18" s="21"/>
      <c r="C18" s="21"/>
      <c r="D18" s="21"/>
      <c r="E18" s="21"/>
      <c r="F18" s="21"/>
      <c r="G18" s="22"/>
      <c r="H18" s="23"/>
      <c r="I18" s="24"/>
      <c r="J18" s="25" t="n">
        <f aca="false">IF(N(H18)=0,0,H18*I18*G18)</f>
        <v>0</v>
      </c>
      <c r="K18" s="23"/>
      <c r="L18" s="25" t="n">
        <f aca="false">IF(N(K18)=0,0,K18*I18)</f>
        <v>0</v>
      </c>
      <c r="M18" s="21"/>
      <c r="N18" s="21"/>
    </row>
    <row r="19" customFormat="false" ht="25.5" hidden="false" customHeight="true" outlineLevel="0" collapsed="false">
      <c r="A19" s="20"/>
      <c r="B19" s="21"/>
      <c r="C19" s="21"/>
      <c r="D19" s="21"/>
      <c r="E19" s="21"/>
      <c r="F19" s="21"/>
      <c r="G19" s="22"/>
      <c r="H19" s="23"/>
      <c r="I19" s="24"/>
      <c r="J19" s="25" t="n">
        <f aca="false">IF(N(H19)=0,0,H19*I19*G19)</f>
        <v>0</v>
      </c>
      <c r="K19" s="23"/>
      <c r="L19" s="25" t="n">
        <f aca="false">IF(N(K19)=0,0,K19*I19)</f>
        <v>0</v>
      </c>
      <c r="M19" s="21"/>
      <c r="N19" s="21"/>
    </row>
    <row r="20" customFormat="false" ht="25.5" hidden="false" customHeight="true" outlineLevel="0" collapsed="false">
      <c r="A20" s="20"/>
      <c r="B20" s="21"/>
      <c r="C20" s="21"/>
      <c r="D20" s="21"/>
      <c r="E20" s="21"/>
      <c r="F20" s="21"/>
      <c r="G20" s="22"/>
      <c r="H20" s="23"/>
      <c r="I20" s="24"/>
      <c r="J20" s="25" t="n">
        <f aca="false">IF(N(H20)=0,0,H20*I20*G20)</f>
        <v>0</v>
      </c>
      <c r="K20" s="23"/>
      <c r="L20" s="25" t="n">
        <f aca="false">IF(N(K20)=0,0,K20*I20)</f>
        <v>0</v>
      </c>
      <c r="M20" s="21"/>
      <c r="N20" s="21"/>
    </row>
    <row r="21" customFormat="false" ht="25.5" hidden="false" customHeight="true" outlineLevel="0" collapsed="false">
      <c r="A21" s="20"/>
      <c r="B21" s="21"/>
      <c r="C21" s="21"/>
      <c r="D21" s="21"/>
      <c r="E21" s="21"/>
      <c r="F21" s="21"/>
      <c r="G21" s="22"/>
      <c r="H21" s="23"/>
      <c r="I21" s="24"/>
      <c r="J21" s="25" t="n">
        <f aca="false">IF(N(H21)=0,0,H21*I21*G21)</f>
        <v>0</v>
      </c>
      <c r="K21" s="23"/>
      <c r="L21" s="25" t="n">
        <f aca="false">IF(N(K21)=0,0,K21*I21)</f>
        <v>0</v>
      </c>
      <c r="M21" s="21"/>
      <c r="N21" s="21"/>
    </row>
    <row r="22" customFormat="false" ht="25.5" hidden="false" customHeight="true" outlineLevel="0" collapsed="false">
      <c r="A22" s="20"/>
      <c r="B22" s="21"/>
      <c r="C22" s="21"/>
      <c r="D22" s="21"/>
      <c r="E22" s="21"/>
      <c r="F22" s="21"/>
      <c r="G22" s="22"/>
      <c r="H22" s="23"/>
      <c r="I22" s="24"/>
      <c r="J22" s="25" t="n">
        <f aca="false">IF(N(H22)=0,0,H22*I22*G22)</f>
        <v>0</v>
      </c>
      <c r="K22" s="23"/>
      <c r="L22" s="25" t="n">
        <f aca="false">IF(N(K22)=0,0,K22*I22)</f>
        <v>0</v>
      </c>
      <c r="M22" s="21"/>
      <c r="N22" s="21"/>
    </row>
    <row r="23" customFormat="false" ht="25.5" hidden="false" customHeight="true" outlineLevel="0" collapsed="false">
      <c r="A23" s="20"/>
      <c r="B23" s="21"/>
      <c r="C23" s="21"/>
      <c r="D23" s="21"/>
      <c r="E23" s="21"/>
      <c r="F23" s="21"/>
      <c r="G23" s="22"/>
      <c r="H23" s="23"/>
      <c r="I23" s="24"/>
      <c r="J23" s="25" t="n">
        <f aca="false">IF(N(H23)=0,0,H23*I23*G23)</f>
        <v>0</v>
      </c>
      <c r="K23" s="23"/>
      <c r="L23" s="25" t="n">
        <f aca="false">IF(N(K23)=0,0,K23*I23)</f>
        <v>0</v>
      </c>
      <c r="M23" s="21"/>
      <c r="N23" s="21"/>
    </row>
    <row r="24" customFormat="false" ht="25.5" hidden="false" customHeight="true" outlineLevel="0" collapsed="false">
      <c r="A24" s="20"/>
      <c r="B24" s="21"/>
      <c r="C24" s="21"/>
      <c r="D24" s="21"/>
      <c r="E24" s="21"/>
      <c r="F24" s="21"/>
      <c r="G24" s="22"/>
      <c r="H24" s="23"/>
      <c r="I24" s="24"/>
      <c r="J24" s="25" t="n">
        <f aca="false">IF(N(H24)=0,0,H24*I24*G24)</f>
        <v>0</v>
      </c>
      <c r="K24" s="23"/>
      <c r="L24" s="25" t="n">
        <f aca="false">IF(N(K24)=0,0,K24*I24)</f>
        <v>0</v>
      </c>
      <c r="M24" s="21"/>
      <c r="N24" s="21"/>
    </row>
    <row r="25" customFormat="false" ht="25.5" hidden="false" customHeight="true" outlineLevel="0" collapsed="false">
      <c r="A25" s="20"/>
      <c r="B25" s="21"/>
      <c r="C25" s="21"/>
      <c r="D25" s="21"/>
      <c r="E25" s="21"/>
      <c r="F25" s="21"/>
      <c r="G25" s="22"/>
      <c r="H25" s="23"/>
      <c r="I25" s="24"/>
      <c r="J25" s="25" t="n">
        <f aca="false">IF(N(H25)=0,0,H25*I25*G25)</f>
        <v>0</v>
      </c>
      <c r="K25" s="23"/>
      <c r="L25" s="25" t="n">
        <f aca="false">IF(N(K25)=0,0,K25*I25)</f>
        <v>0</v>
      </c>
      <c r="M25" s="21"/>
      <c r="N25" s="21"/>
    </row>
    <row r="26" customFormat="false" ht="25.5" hidden="false" customHeight="true" outlineLevel="0" collapsed="false">
      <c r="A26" s="20"/>
      <c r="B26" s="21"/>
      <c r="C26" s="21"/>
      <c r="D26" s="21"/>
      <c r="E26" s="21"/>
      <c r="F26" s="21"/>
      <c r="G26" s="22"/>
      <c r="H26" s="23"/>
      <c r="I26" s="24"/>
      <c r="J26" s="25" t="n">
        <f aca="false">IF(N(H26)=0,0,H26*I26*G26)</f>
        <v>0</v>
      </c>
      <c r="K26" s="23"/>
      <c r="L26" s="25" t="n">
        <f aca="false">IF(N(K26)=0,0,K26*I26)</f>
        <v>0</v>
      </c>
      <c r="M26" s="21"/>
      <c r="N26" s="21"/>
    </row>
    <row r="27" customFormat="false" ht="25.5" hidden="false" customHeight="true" outlineLevel="0" collapsed="false">
      <c r="A27" s="20"/>
      <c r="B27" s="21"/>
      <c r="C27" s="21"/>
      <c r="D27" s="21"/>
      <c r="E27" s="21"/>
      <c r="F27" s="21"/>
      <c r="G27" s="22"/>
      <c r="H27" s="23"/>
      <c r="I27" s="24"/>
      <c r="J27" s="25" t="n">
        <f aca="false">IF(N(H27)=0,0,H27*I27*G27)</f>
        <v>0</v>
      </c>
      <c r="K27" s="23"/>
      <c r="L27" s="25" t="n">
        <f aca="false">IF(N(K27)=0,0,K27*I27)</f>
        <v>0</v>
      </c>
      <c r="M27" s="21"/>
      <c r="N27" s="21"/>
    </row>
    <row r="28" customFormat="false" ht="25.5" hidden="false" customHeight="true" outlineLevel="0" collapsed="false">
      <c r="A28" s="20"/>
      <c r="B28" s="21"/>
      <c r="C28" s="21"/>
      <c r="D28" s="21"/>
      <c r="E28" s="21"/>
      <c r="F28" s="21"/>
      <c r="G28" s="22"/>
      <c r="H28" s="23"/>
      <c r="I28" s="24"/>
      <c r="J28" s="25" t="n">
        <f aca="false">IF(N(H28)=0,0,H28*I28*G28)</f>
        <v>0</v>
      </c>
      <c r="K28" s="23"/>
      <c r="L28" s="25" t="n">
        <f aca="false">IF(N(K28)=0,0,K28*I28)</f>
        <v>0</v>
      </c>
      <c r="M28" s="21"/>
      <c r="N28" s="21"/>
    </row>
    <row r="29" customFormat="false" ht="25.5" hidden="false" customHeight="true" outlineLevel="0" collapsed="false">
      <c r="A29" s="20"/>
      <c r="B29" s="21"/>
      <c r="C29" s="21"/>
      <c r="D29" s="21"/>
      <c r="E29" s="21"/>
      <c r="F29" s="21"/>
      <c r="G29" s="22"/>
      <c r="H29" s="23"/>
      <c r="I29" s="24"/>
      <c r="J29" s="25" t="n">
        <f aca="false">IF(N(H29)=0,0,H29*I29*G29)</f>
        <v>0</v>
      </c>
      <c r="K29" s="23"/>
      <c r="L29" s="25" t="n">
        <f aca="false">IF(N(K29)=0,0,K29*I29)</f>
        <v>0</v>
      </c>
      <c r="M29" s="21"/>
      <c r="N29" s="21"/>
    </row>
    <row r="30" customFormat="false" ht="25.5" hidden="false" customHeight="true" outlineLevel="0" collapsed="false">
      <c r="A30" s="20"/>
      <c r="B30" s="21"/>
      <c r="C30" s="21"/>
      <c r="D30" s="21"/>
      <c r="E30" s="21"/>
      <c r="F30" s="21"/>
      <c r="G30" s="22"/>
      <c r="H30" s="23"/>
      <c r="I30" s="24"/>
      <c r="J30" s="25" t="n">
        <f aca="false">IF(N(H30)=0,0,H30*I30*G30)</f>
        <v>0</v>
      </c>
      <c r="K30" s="23"/>
      <c r="L30" s="25" t="n">
        <f aca="false">IF(N(K30)=0,0,K30*I30)</f>
        <v>0</v>
      </c>
      <c r="M30" s="21"/>
      <c r="N30" s="21"/>
    </row>
    <row r="31" customFormat="false" ht="25.5" hidden="false" customHeight="true" outlineLevel="0" collapsed="false">
      <c r="A31" s="20"/>
      <c r="B31" s="21"/>
      <c r="C31" s="21"/>
      <c r="D31" s="21"/>
      <c r="E31" s="21"/>
      <c r="F31" s="21"/>
      <c r="G31" s="22"/>
      <c r="H31" s="23"/>
      <c r="I31" s="24"/>
      <c r="J31" s="25" t="n">
        <f aca="false">IF(N(H31)=0,0,H31*I31*G31)</f>
        <v>0</v>
      </c>
      <c r="K31" s="23"/>
      <c r="L31" s="25" t="n">
        <f aca="false">IF(N(K31)=0,0,K31*I31)</f>
        <v>0</v>
      </c>
      <c r="M31" s="21"/>
      <c r="N31" s="21"/>
    </row>
    <row r="32" customFormat="false" ht="25.5" hidden="false" customHeight="true" outlineLevel="0" collapsed="false">
      <c r="A32" s="20"/>
      <c r="B32" s="21"/>
      <c r="C32" s="21"/>
      <c r="D32" s="21"/>
      <c r="E32" s="21"/>
      <c r="F32" s="21"/>
      <c r="G32" s="22"/>
      <c r="H32" s="23"/>
      <c r="I32" s="24"/>
      <c r="J32" s="25" t="n">
        <f aca="false">IF(N(H32)=0,0,H32*I32*G32)</f>
        <v>0</v>
      </c>
      <c r="K32" s="23"/>
      <c r="L32" s="25" t="n">
        <f aca="false">IF(N(K32)=0,0,K32*I32)</f>
        <v>0</v>
      </c>
      <c r="M32" s="21"/>
      <c r="N32" s="21"/>
    </row>
    <row r="33" customFormat="false" ht="21.75" hidden="false" customHeight="true" outlineLevel="0" collapsed="false">
      <c r="A33" s="26"/>
      <c r="B33" s="27" t="s">
        <v>150</v>
      </c>
      <c r="C33" s="26"/>
      <c r="D33" s="26"/>
      <c r="E33" s="26"/>
      <c r="F33" s="26"/>
      <c r="G33" s="26"/>
      <c r="H33" s="26"/>
      <c r="I33" s="26"/>
      <c r="J33" s="28" t="n">
        <f aca="false">SUM(J3:J32)</f>
        <v>40000</v>
      </c>
      <c r="K33" s="26"/>
      <c r="L33" s="28" t="n">
        <f aca="false">SUM(L3:L32)</f>
        <v>20000</v>
      </c>
      <c r="M33" s="26"/>
      <c r="N33" s="26"/>
    </row>
  </sheetData>
  <mergeCells count="1">
    <mergeCell ref="A1:N1"/>
  </mergeCells>
  <dataValidations count="5">
    <dataValidation allowBlank="true" errorStyle="stop" operator="between" showDropDown="false" showErrorMessage="false" showInputMessage="false" sqref="C3:C32" type="list">
      <formula1>Довідники!$A$2:$A$19</formula1>
      <formula2>0</formula2>
    </dataValidation>
    <dataValidation allowBlank="true" errorStyle="stop" operator="between" showDropDown="false" showErrorMessage="false" showInputMessage="false" sqref="D3:D32" type="list">
      <formula1>Довідники!$B$2:$B$8</formula1>
      <formula2>0</formula2>
    </dataValidation>
    <dataValidation allowBlank="true" errorStyle="stop" operator="between" showDropDown="false" showErrorMessage="false" showInputMessage="false" sqref="F3:F32" type="list">
      <formula1>Довідники!$C$2:$C$8</formula1>
      <formula2>0</formula2>
    </dataValidation>
    <dataValidation allowBlank="true" errorStyle="stop" operator="between" showDropDown="false" showErrorMessage="false" showInputMessage="false" sqref="M3:M32" type="list">
      <formula1>Довідники!$D$2:$D$7</formula1>
      <formula2>0</formula2>
    </dataValidation>
    <dataValidation allowBlank="true" errorStyle="stop" operator="between" showDropDown="false" showErrorMessage="false" showInputMessage="false" sqref="E3:E32" type="list">
      <formula1>Довідники!$E$2:$E$6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2"/>
  </cols>
  <sheetData>
    <row r="1" customFormat="false" ht="30" hidden="false" customHeight="true" outlineLevel="0" collapsed="false">
      <c r="A1" s="12" t="s">
        <v>151</v>
      </c>
      <c r="B1" s="12"/>
      <c r="C1" s="12"/>
      <c r="D1" s="12"/>
      <c r="E1" s="12"/>
      <c r="F1" s="12"/>
      <c r="G1" s="12"/>
      <c r="H1" s="12"/>
    </row>
    <row r="2" customFormat="false" ht="24" hidden="false" customHeight="true" outlineLevel="0" collapsed="false">
      <c r="A2" s="13" t="s">
        <v>152</v>
      </c>
      <c r="B2" s="13" t="s">
        <v>153</v>
      </c>
      <c r="C2" s="13" t="s">
        <v>154</v>
      </c>
      <c r="D2" s="13" t="s">
        <v>155</v>
      </c>
      <c r="E2" s="13" t="s">
        <v>156</v>
      </c>
      <c r="F2" s="13" t="s">
        <v>157</v>
      </c>
      <c r="G2" s="13" t="s">
        <v>158</v>
      </c>
      <c r="H2" s="13" t="s">
        <v>159</v>
      </c>
    </row>
    <row r="3" customFormat="false" ht="21.75" hidden="false" customHeight="true" outlineLevel="0" collapsed="false">
      <c r="A3" s="29" t="s">
        <v>86</v>
      </c>
      <c r="B3" s="30" t="n">
        <v>10</v>
      </c>
      <c r="C3" s="30" t="n">
        <v>12</v>
      </c>
      <c r="D3" s="30" t="n">
        <v>8</v>
      </c>
      <c r="E3" s="30" t="n">
        <v>6</v>
      </c>
      <c r="F3" s="30" t="n">
        <v>4</v>
      </c>
      <c r="G3" s="30" t="n">
        <v>2</v>
      </c>
      <c r="H3" s="31" t="n">
        <f aca="false">SUM(B3:G3)</f>
        <v>42</v>
      </c>
    </row>
    <row r="4" customFormat="false" ht="21.75" hidden="false" customHeight="true" outlineLevel="0" collapsed="false">
      <c r="A4" s="29" t="s">
        <v>160</v>
      </c>
      <c r="B4" s="30" t="n">
        <v>0</v>
      </c>
      <c r="C4" s="30" t="n">
        <v>5</v>
      </c>
      <c r="D4" s="30" t="n">
        <v>15</v>
      </c>
      <c r="E4" s="30" t="n">
        <v>18</v>
      </c>
      <c r="F4" s="30" t="n">
        <v>15</v>
      </c>
      <c r="G4" s="30" t="n">
        <v>10</v>
      </c>
      <c r="H4" s="31" t="n">
        <f aca="false">SUM(B4:G4)</f>
        <v>63</v>
      </c>
    </row>
    <row r="5" customFormat="false" ht="21.75" hidden="false" customHeight="true" outlineLevel="0" collapsed="false">
      <c r="A5" s="29" t="s">
        <v>161</v>
      </c>
      <c r="B5" s="30" t="n">
        <v>8</v>
      </c>
      <c r="C5" s="30" t="n">
        <v>12</v>
      </c>
      <c r="D5" s="30" t="n">
        <v>4</v>
      </c>
      <c r="E5" s="30" t="n">
        <v>0</v>
      </c>
      <c r="F5" s="30" t="n">
        <v>0</v>
      </c>
      <c r="G5" s="30" t="n">
        <v>0</v>
      </c>
      <c r="H5" s="31" t="n">
        <f aca="false">SUM(B5:G5)</f>
        <v>24</v>
      </c>
    </row>
    <row r="6" customFormat="false" ht="21.75" hidden="false" customHeight="true" outlineLevel="0" collapsed="false">
      <c r="A6" s="29" t="s">
        <v>162</v>
      </c>
      <c r="B6" s="30" t="n">
        <v>6</v>
      </c>
      <c r="C6" s="30" t="n">
        <v>6</v>
      </c>
      <c r="D6" s="30" t="n">
        <v>5</v>
      </c>
      <c r="E6" s="30" t="n">
        <v>5</v>
      </c>
      <c r="F6" s="30" t="n">
        <v>4</v>
      </c>
      <c r="G6" s="30" t="n">
        <v>4</v>
      </c>
      <c r="H6" s="31" t="n">
        <f aca="false">SUM(B6:G6)</f>
        <v>30</v>
      </c>
    </row>
    <row r="7" customFormat="false" ht="21.75" hidden="false" customHeight="true" outlineLevel="0" collapsed="false">
      <c r="A7" s="32" t="s">
        <v>163</v>
      </c>
      <c r="B7" s="33" t="n">
        <f aca="false">SUM(B3:B6)</f>
        <v>24</v>
      </c>
      <c r="C7" s="33" t="n">
        <f aca="false">SUM(C3:C6)</f>
        <v>35</v>
      </c>
      <c r="D7" s="33" t="n">
        <f aca="false">SUM(D3:D6)</f>
        <v>32</v>
      </c>
      <c r="E7" s="33" t="n">
        <f aca="false">SUM(E3:E6)</f>
        <v>29</v>
      </c>
      <c r="F7" s="33" t="n">
        <f aca="false">SUM(F3:F6)</f>
        <v>23</v>
      </c>
      <c r="G7" s="33" t="n">
        <f aca="false">SUM(G3:G6)</f>
        <v>16</v>
      </c>
      <c r="H7" s="33" t="n">
        <f aca="false">SUM(H3:H6)</f>
        <v>159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2026-07-24T13:21:28Z</dcterms:created>
  <dc:creator>openpyxl</dc:creator>
  <dc:description/>
  <dc:language>en-US</dc:language>
  <cp:lastModifiedBy/>
  <dcterms:modified xsi:type="dcterms:W3CDTF">2026-07-24T16:23:56Z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