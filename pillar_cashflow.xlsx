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надходжень'!$A$1:$I$105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08.10.2026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2588000</v>
      </c>
      <c r="G10" s="10" t="n">
        <v>2588000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5176000</v>
      </c>
      <c r="G11" s="10" t="n">
        <v>5176000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2035935</v>
      </c>
      <c r="G15" s="10" t="n">
        <v>2035935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1863360</v>
      </c>
      <c r="G39" s="10" t="n">
        <v>1863360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455488</v>
      </c>
      <c r="G44" s="10" t="n">
        <v>455488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8648578.4</v>
      </c>
      <c r="G54" s="10" t="n">
        <v>8648578.4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4073512</v>
      </c>
      <c r="G57" s="10" t="n">
        <v>4073512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4954726</v>
      </c>
      <c r="G66" s="10" t="n">
        <v>4954726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754402</v>
      </c>
      <c r="G67" s="10" t="n">
        <v>754402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559784.4</v>
      </c>
      <c r="G69" s="10" t="n">
        <v>559784.4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905800</v>
      </c>
      <c r="G70" s="10" t="n">
        <v>905800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2818642.56</v>
      </c>
      <c r="G78" s="10" t="n">
        <v>2818642.56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1564446</v>
      </c>
      <c r="G80" s="10" t="n">
        <v>1564446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574695</v>
      </c>
      <c r="G87" s="10" t="n">
        <v>574695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7904</v>
      </c>
      <c r="C88" s="9" t="inlineStr">
        <is>
          <t>А СОЛАРС РЕ ЕНЕРДЖІ ГРУП</t>
        </is>
      </c>
      <c r="D88" s="9" t="inlineStr">
        <is>
          <t>Іщук</t>
        </is>
      </c>
      <c r="E88" s="9" t="inlineStr">
        <is>
          <t>Авансовий платіж</t>
        </is>
      </c>
      <c r="F88" s="10" t="n">
        <v>691660.98</v>
      </c>
      <c r="G88" s="10" t="n">
        <v>691660.98</v>
      </c>
      <c r="H88" s="11">
        <f>F88-G88</f>
        <v/>
      </c>
      <c r="I88" s="9" t="inlineStr">
        <is>
          <t>отримано</t>
        </is>
      </c>
      <c r="J88" t="inlineStr">
        <is>
          <t>2026-09</t>
        </is>
      </c>
      <c r="K88" s="12" t="inlineStr"/>
    </row>
    <row r="89">
      <c r="A89" s="8" t="n">
        <v>46296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50823</v>
      </c>
      <c r="G89" s="10" t="n">
        <v>50823.44</v>
      </c>
      <c r="H89" s="11">
        <f>F89-G89</f>
        <v/>
      </c>
      <c r="I89" s="9" t="inlineStr">
        <is>
          <t>отримано</t>
        </is>
      </c>
      <c r="J89" t="inlineStr">
        <is>
          <t>2026-10</t>
        </is>
      </c>
      <c r="K89" s="12" t="inlineStr"/>
    </row>
    <row r="90">
      <c r="A90" s="8" t="n">
        <v>46297</v>
      </c>
      <c r="B90" s="9" t="n">
        <v>9562</v>
      </c>
      <c r="C90" s="9" t="inlineStr">
        <is>
          <t>26  SOLAR Наземні СЕС Київ  шт. 0 шт. 0.77 Мвт SolarWind</t>
        </is>
      </c>
      <c r="D90" s="9" t="inlineStr">
        <is>
          <t>Іщук</t>
        </is>
      </c>
      <c r="E90" s="9" t="inlineStr">
        <is>
          <t>Авансовий платіж</t>
        </is>
      </c>
      <c r="F90" s="10" t="n">
        <v>397353.6</v>
      </c>
      <c r="G90" s="10" t="n">
        <v>397353.6</v>
      </c>
      <c r="H90" s="11">
        <f>F90-G90</f>
        <v/>
      </c>
      <c r="I90" s="9" t="inlineStr">
        <is>
          <t>отримано</t>
        </is>
      </c>
      <c r="J90" t="inlineStr">
        <is>
          <t>2026-10</t>
        </is>
      </c>
      <c r="K90" s="12" t="inlineStr"/>
    </row>
    <row r="91">
      <c r="A91" s="8" t="n">
        <v>46303</v>
      </c>
      <c r="B91" s="9" t="n">
        <v>4766</v>
      </c>
      <c r="C91" s="9" t="inlineStr">
        <is>
          <t>ALTECO Carport Model Taurus 280кВт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1263447.42</v>
      </c>
      <c r="G91" s="10" t="n">
        <v>0</v>
      </c>
      <c r="H91" s="11">
        <f>F91-G91</f>
        <v/>
      </c>
      <c r="I91" s="9" t="inlineStr">
        <is>
          <t>прострочено</t>
        </is>
      </c>
      <c r="J91" t="inlineStr">
        <is>
          <t>2026-10</t>
        </is>
      </c>
      <c r="K91" s="12" t="inlineStr"/>
    </row>
    <row r="92">
      <c r="A92" s="8" t="n">
        <v>46303</v>
      </c>
      <c r="B92" s="9" t="n">
        <v>6024</v>
      </c>
      <c r="C92" s="9" t="inlineStr">
        <is>
          <t>-26 ГШ с. Липовиця Черніг. обл. Модулекс</t>
        </is>
      </c>
      <c r="D92" s="9" t="inlineStr">
        <is>
          <t>Заянчковський</t>
        </is>
      </c>
      <c r="E92" s="9" t="inlineStr">
        <is>
          <t>Другий платіж</t>
        </is>
      </c>
      <c r="F92" s="10" t="n">
        <v>246402</v>
      </c>
      <c r="G92" s="10" t="n">
        <v>0</v>
      </c>
      <c r="H92" s="11">
        <f>F92-G92</f>
        <v/>
      </c>
      <c r="I92" s="9" t="inlineStr">
        <is>
          <t>прострочено</t>
        </is>
      </c>
      <c r="J92" t="inlineStr">
        <is>
          <t>2026-10</t>
        </is>
      </c>
      <c r="K92" s="12" t="inlineStr"/>
    </row>
    <row r="93">
      <c r="A93" s="8" t="n">
        <v>46303</v>
      </c>
      <c r="B93" s="9" t="n">
        <v>6024</v>
      </c>
      <c r="C93" s="9" t="inlineStr">
        <is>
          <t>-26 ГШ с. Липовиця Черніг. обл. Модулекс</t>
        </is>
      </c>
      <c r="D93" s="9" t="inlineStr">
        <is>
          <t>Заянчковський</t>
        </is>
      </c>
      <c r="E93" s="9" t="inlineStr">
        <is>
          <t>Третій платіж</t>
        </is>
      </c>
      <c r="F93" s="10" t="n">
        <v>3999</v>
      </c>
      <c r="G93" s="10" t="n">
        <v>0</v>
      </c>
      <c r="H93" s="11">
        <f>F93-G93</f>
        <v/>
      </c>
      <c r="I93" s="9" t="inlineStr">
        <is>
          <t>прострочено</t>
        </is>
      </c>
      <c r="J93" t="inlineStr">
        <is>
          <t>2026-10</t>
        </is>
      </c>
      <c r="K93" s="12" t="inlineStr"/>
    </row>
    <row r="94">
      <c r="A94" s="8" t="n">
        <v>46303</v>
      </c>
      <c r="B94" s="9" t="n">
        <v>7244</v>
      </c>
      <c r="C94" s="9" t="inlineStr">
        <is>
          <t>В Модулекс модульна будівля Чернігів</t>
        </is>
      </c>
      <c r="D94" s="9" t="inlineStr">
        <is>
          <t>Заянчковський</t>
        </is>
      </c>
      <c r="E94" s="9" t="inlineStr">
        <is>
          <t>П'ятий платіж</t>
        </is>
      </c>
      <c r="F94" s="10" t="n">
        <v>132708.6</v>
      </c>
      <c r="G94" s="10" t="n">
        <v>0</v>
      </c>
      <c r="H94" s="11">
        <f>F94-G94</f>
        <v/>
      </c>
      <c r="I94" s="9" t="inlineStr">
        <is>
          <t>прострочено</t>
        </is>
      </c>
      <c r="J94" t="inlineStr">
        <is>
          <t>2026-10</t>
        </is>
      </c>
      <c r="K94" s="12" t="inlineStr"/>
    </row>
    <row r="95">
      <c r="A95" s="8" t="n">
        <v>46304</v>
      </c>
      <c r="B95" s="9" t="n">
        <v>5910</v>
      </c>
      <c r="C95" s="9" t="inlineStr">
        <is>
          <t>SGM Brdovec, Хорватия</t>
        </is>
      </c>
      <c r="D95" s="9" t="inlineStr">
        <is>
          <t>Донська</t>
        </is>
      </c>
      <c r="E95" s="9" t="inlineStr">
        <is>
          <t>Другий платіж 60%</t>
        </is>
      </c>
      <c r="F95" s="10" t="n">
        <v>17297208.56</v>
      </c>
      <c r="G95" s="10" t="n">
        <v>16036852.56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>
        <is>
          <t>€334 181</t>
        </is>
      </c>
    </row>
    <row r="96">
      <c r="A96" s="8" t="n">
        <v>46304</v>
      </c>
      <c r="B96" s="9" t="n">
        <v>5910</v>
      </c>
      <c r="C96" s="9" t="inlineStr">
        <is>
          <t>SGM Brdovec, Хорватия</t>
        </is>
      </c>
      <c r="D96" s="9" t="inlineStr">
        <is>
          <t>Донська</t>
        </is>
      </c>
      <c r="E96" s="9" t="inlineStr">
        <is>
          <t>Третій платіж</t>
        </is>
      </c>
      <c r="F96" s="10" t="n">
        <v>2882721.44</v>
      </c>
      <c r="G96" s="10" t="n">
        <v>1374797.36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>
        <is>
          <t>€55 694</t>
        </is>
      </c>
    </row>
    <row r="97">
      <c r="A97" s="8" t="n">
        <v>46309</v>
      </c>
      <c r="B97" s="9" t="n">
        <v>7414</v>
      </c>
      <c r="C97" s="9" t="inlineStr">
        <is>
          <t>-26 ГШ Фундамент домобудування Володимир</t>
        </is>
      </c>
      <c r="D97" s="9" t="inlineStr">
        <is>
          <t>Заянчковський</t>
        </is>
      </c>
      <c r="E97" s="9" t="inlineStr">
        <is>
          <t>Четвертий платіж</t>
        </is>
      </c>
      <c r="F97" s="10" t="n">
        <v>50822.46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46310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Третій платіж</t>
        </is>
      </c>
      <c r="F98" s="10" t="n">
        <v>1119237.26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46310</v>
      </c>
      <c r="B99" s="9" t="n">
        <v>6352</v>
      </c>
      <c r="C99" s="9" t="inlineStr">
        <is>
          <t>АБМК SCP Blade 8PS</t>
        </is>
      </c>
      <c r="D99" s="9" t="inlineStr">
        <is>
          <t>Донська</t>
        </is>
      </c>
      <c r="E99" s="9" t="inlineStr">
        <is>
          <t>Четвертий платіж</t>
        </is>
      </c>
      <c r="F99" s="10" t="n">
        <v>371982.96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/>
    </row>
    <row r="100">
      <c r="A100" s="8" t="n">
        <v>46311</v>
      </c>
      <c r="B100" s="9" t="n">
        <v>8497</v>
      </c>
      <c r="C100" s="9" t="inlineStr">
        <is>
          <t>LSG 110MWt   50 points</t>
        </is>
      </c>
      <c r="D100" s="9" t="inlineStr">
        <is>
          <t>Іщук</t>
        </is>
      </c>
      <c r="E100" s="9" t="inlineStr">
        <is>
          <t>Другий платіж</t>
        </is>
      </c>
      <c r="F100" s="10" t="n">
        <v>521482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€10 075</t>
        </is>
      </c>
    </row>
    <row r="101">
      <c r="A101" s="8" t="n">
        <v>46316</v>
      </c>
      <c r="B101" s="9" t="n">
        <v>6356</v>
      </c>
      <c r="C101" s="9" t="inlineStr">
        <is>
          <t>-26 SOLAR Наземні СЕС 3 Kirill Trokhin</t>
        </is>
      </c>
      <c r="D101" s="9" t="inlineStr">
        <is>
          <t>Хома</t>
        </is>
      </c>
      <c r="E101" s="9" t="inlineStr">
        <is>
          <t>Другий платіж</t>
        </is>
      </c>
      <c r="F101" s="10" t="n">
        <v>3325062.4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€64 240</t>
        </is>
      </c>
    </row>
    <row r="102">
      <c r="A102" s="8" t="n">
        <v>46321</v>
      </c>
      <c r="B102" s="9" t="n">
        <v>6352</v>
      </c>
      <c r="C102" s="9" t="inlineStr">
        <is>
          <t>АБМК SCP Blade 8PS</t>
        </is>
      </c>
      <c r="D102" s="9" t="inlineStr">
        <is>
          <t>Донська</t>
        </is>
      </c>
      <c r="E102" s="9" t="inlineStr">
        <is>
          <t>П'ятий платіж</t>
        </is>
      </c>
      <c r="F102" s="10" t="n">
        <v>651792.28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/>
    </row>
    <row r="103">
      <c r="A103" s="8" t="n">
        <v>46322</v>
      </c>
      <c r="B103" s="9" t="n">
        <v>6356</v>
      </c>
      <c r="C103" s="9" t="inlineStr">
        <is>
          <t>-26 SOLAR Наземні СЕС 3 Kirill Trokhin</t>
        </is>
      </c>
      <c r="D103" s="9" t="inlineStr">
        <is>
          <t>Хома</t>
        </is>
      </c>
      <c r="E103" s="9" t="inlineStr">
        <is>
          <t>Третій платіж</t>
        </is>
      </c>
      <c r="F103" s="10" t="n">
        <v>665012.48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2026-10</t>
        </is>
      </c>
      <c r="K103" s="12" t="inlineStr">
        <is>
          <t>€12 848</t>
        </is>
      </c>
    </row>
    <row r="104">
      <c r="A104" s="8" t="n">
        <v>46322</v>
      </c>
      <c r="B104" s="9" t="n">
        <v>7894</v>
      </c>
      <c r="C104" s="9" t="inlineStr">
        <is>
          <t>SCP Фора  Хотів</t>
        </is>
      </c>
      <c r="D104" s="9" t="inlineStr">
        <is>
          <t>Донська</t>
        </is>
      </c>
      <c r="E104" s="9" t="inlineStr">
        <is>
          <t>П'ятий платіж</t>
        </is>
      </c>
      <c r="F104" s="10" t="n">
        <v>737597.4</v>
      </c>
      <c r="G104" s="10" t="n">
        <v>0</v>
      </c>
      <c r="H104" s="11">
        <f>F104-G104</f>
        <v/>
      </c>
      <c r="I104" s="9" t="inlineStr">
        <is>
          <t>очікується</t>
        </is>
      </c>
      <c r="J104" t="inlineStr">
        <is>
          <t>2026-10</t>
        </is>
      </c>
      <c r="K104" s="12" t="inlineStr"/>
    </row>
    <row r="105">
      <c r="A105" s="8" t="n">
        <v>46330</v>
      </c>
      <c r="B105" s="9" t="n">
        <v>7508</v>
      </c>
      <c r="C105" s="9" t="inlineStr">
        <is>
          <t>8602 Євген Весільна тераса Подорожнє</t>
        </is>
      </c>
      <c r="D105" s="9" t="inlineStr">
        <is>
          <t>Заянчковський</t>
        </is>
      </c>
      <c r="E105" s="9" t="inlineStr">
        <is>
          <t>Третій платіж</t>
        </is>
      </c>
      <c r="F105" s="10" t="n">
        <v>750999.9399999999</v>
      </c>
      <c r="G105" s="10" t="n">
        <v>0</v>
      </c>
      <c r="H105" s="11">
        <f>F105-G105</f>
        <v/>
      </c>
      <c r="I105" s="9" t="inlineStr">
        <is>
          <t>очікується</t>
        </is>
      </c>
      <c r="J105" t="inlineStr">
        <is>
          <t>2026-11</t>
        </is>
      </c>
      <c r="K105" s="12" t="inlineStr"/>
    </row>
    <row r="106">
      <c r="E106" s="3" t="inlineStr">
        <is>
          <t>Разом</t>
        </is>
      </c>
      <c r="F106" s="13">
        <f>SUM(F2:F105)</f>
        <v/>
      </c>
      <c r="G106" s="13">
        <f>SUM(G2:G105)</f>
        <v/>
      </c>
      <c r="H106" s="13">
        <f>SUM(H2:H105)</f>
        <v/>
      </c>
    </row>
  </sheetData>
  <autoFilter ref="A1:I1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46303</v>
      </c>
      <c r="B2" s="9" t="n">
        <v>4766</v>
      </c>
      <c r="C2" s="9" t="inlineStr">
        <is>
          <t>ALTECO Carport Model Taurus 280кВт</t>
        </is>
      </c>
      <c r="D2" s="9" t="inlineStr">
        <is>
          <t>П'ятий платіж</t>
        </is>
      </c>
      <c r="E2" s="11" t="n">
        <v>1263447.42</v>
      </c>
      <c r="F2" s="11" t="n">
        <v>0</v>
      </c>
      <c r="G2" s="11">
        <f>E2-F2</f>
        <v/>
      </c>
    </row>
    <row r="3">
      <c r="A3" s="8" t="n">
        <v>46303</v>
      </c>
      <c r="B3" s="9" t="n">
        <v>6024</v>
      </c>
      <c r="C3" s="9" t="inlineStr">
        <is>
          <t>-26 ГШ с. Липовиця Черніг. обл. Модулекс</t>
        </is>
      </c>
      <c r="D3" s="9" t="inlineStr">
        <is>
          <t>Другий платіж</t>
        </is>
      </c>
      <c r="E3" s="11" t="n">
        <v>246402</v>
      </c>
      <c r="F3" s="11" t="n">
        <v>0</v>
      </c>
      <c r="G3" s="11">
        <f>E3-F3</f>
        <v/>
      </c>
    </row>
    <row r="4">
      <c r="A4" s="8" t="n">
        <v>46303</v>
      </c>
      <c r="B4" s="9" t="n">
        <v>7244</v>
      </c>
      <c r="C4" s="9" t="inlineStr">
        <is>
          <t>В Модулекс модульна будівля Чернігів</t>
        </is>
      </c>
      <c r="D4" s="9" t="inlineStr">
        <is>
          <t>П'ятий платіж</t>
        </is>
      </c>
      <c r="E4" s="11" t="n">
        <v>132708.6</v>
      </c>
      <c r="F4" s="11" t="n">
        <v>0</v>
      </c>
      <c r="G4" s="11">
        <f>E4-F4</f>
        <v/>
      </c>
    </row>
    <row r="5">
      <c r="A5" s="8" t="n">
        <v>46260</v>
      </c>
      <c r="B5" s="9" t="n">
        <v>6406</v>
      </c>
      <c r="C5" s="9" t="inlineStr">
        <is>
          <t>Максим Яловий Чинадієво</t>
        </is>
      </c>
      <c r="D5" s="9" t="inlineStr">
        <is>
          <t>Другий платіж</t>
        </is>
      </c>
      <c r="E5" s="11" t="n">
        <v>218602</v>
      </c>
      <c r="F5" s="11" t="n">
        <v>170788</v>
      </c>
      <c r="G5" s="11">
        <f>E5-F5</f>
        <v/>
      </c>
    </row>
    <row r="6">
      <c r="A6" s="8" t="n">
        <v>46303</v>
      </c>
      <c r="B6" s="9" t="n">
        <v>6024</v>
      </c>
      <c r="C6" s="9" t="inlineStr">
        <is>
          <t>-26 ГШ с. Липовиця Черніг. обл. Модулекс</t>
        </is>
      </c>
      <c r="D6" s="9" t="inlineStr">
        <is>
          <t>Третій платіж</t>
        </is>
      </c>
      <c r="E6" s="11" t="n">
        <v>3999</v>
      </c>
      <c r="F6" s="11" t="n">
        <v>0</v>
      </c>
      <c r="G6" s="11">
        <f>E6-F6</f>
        <v/>
      </c>
    </row>
    <row r="7">
      <c r="D7" s="3" t="inlineStr">
        <is>
          <t>Разом</t>
        </is>
      </c>
      <c r="E7" s="13">
        <f>SUM(E2:E6)</f>
        <v/>
      </c>
      <c r="F7" s="13">
        <f>SUM(F2:F6)</f>
        <v/>
      </c>
      <c r="G7" s="13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2026-10-08T04:43:05Z</dcterms:created>
  <dcterms:modified xmlns:dcterms="http://purl.org/dc/terms/" xmlns:xsi="http://www.w3.org/2001/XMLSchema-instance" xsi:type="dcterms:W3CDTF">2026-10-08T04:43:05Z</dcterms:modified>
</cp:coreProperties>
</file>