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надходжень'!$A$1:$I$71</definedName>
    <definedName name="_xlnm._FilterDatabase" localSheetId="3" hidden="1">'Прострочені'!$A$1:$G$6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26.07.2026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2582308.44</v>
      </c>
      <c r="G12" s="10" t="n">
        <v>2582308.44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5248968</v>
      </c>
      <c r="G13" s="10" t="n">
        <v>5248968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4566551.100000001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1889373.18</v>
      </c>
      <c r="G42" s="10" t="n">
        <v>1889373.18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7746874.260000001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8188</v>
      </c>
      <c r="C47" s="9" t="inlineStr">
        <is>
          <t>Фундамент Ужгород Стефанія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73926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8454</v>
      </c>
      <c r="C48" s="9" t="inlineStr">
        <is>
          <t>Олександр каркасний Верховина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69666</v>
      </c>
      <c r="G48" s="10" t="n">
        <v>69666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449328</v>
      </c>
      <c r="G49" s="10" t="n">
        <v>449328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46217</v>
      </c>
      <c r="B50" s="9" t="n">
        <v>4766</v>
      </c>
      <c r="C50" s="9" t="inlineStr">
        <is>
          <t>ALTECO Carport Model Taurus 280кВт</t>
        </is>
      </c>
      <c r="D50" s="9" t="inlineStr">
        <is>
          <t>Заянчковський</t>
        </is>
      </c>
      <c r="E50" s="9" t="inlineStr">
        <is>
          <t>Другий платіж</t>
        </is>
      </c>
      <c r="F50" s="10" t="n">
        <v>100000</v>
      </c>
      <c r="G50" s="10" t="n">
        <v>100000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8185</v>
      </c>
      <c r="C51" s="9" t="inlineStr">
        <is>
          <t>Фундамент Hytte House Development Славське</t>
        </is>
      </c>
      <c r="D51" s="9" t="inlineStr">
        <is>
          <t>Донська</t>
        </is>
      </c>
      <c r="E51" s="9" t="inlineStr">
        <is>
          <t>Другий платіж</t>
        </is>
      </c>
      <c r="F51" s="10" t="n">
        <v>63313.4</v>
      </c>
      <c r="G51" s="10" t="n">
        <v>63313.4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Третій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46219</v>
      </c>
      <c r="B53" s="9" t="n">
        <v>7002</v>
      </c>
      <c r="C53" s="9" t="inlineStr">
        <is>
          <t>А Фора  SCP W 24PS V1</t>
        </is>
      </c>
      <c r="D53" s="9" t="inlineStr">
        <is>
          <t>Донська</t>
        </is>
      </c>
      <c r="E53" s="9" t="inlineStr">
        <is>
          <t>Другий платіж</t>
        </is>
      </c>
      <c r="F53" s="10" t="n">
        <v>126896.64</v>
      </c>
      <c r="G53" s="10" t="n">
        <v>126896.64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7002</v>
      </c>
      <c r="C54" s="9" t="inlineStr">
        <is>
          <t>А Фора  SCP W 24PS V1</t>
        </is>
      </c>
      <c r="D54" s="9" t="inlineStr">
        <is>
          <t>Донська</t>
        </is>
      </c>
      <c r="E54" s="9" t="inlineStr">
        <is>
          <t>Третій платіж</t>
        </is>
      </c>
      <c r="F54" s="10" t="n">
        <v>126896.64</v>
      </c>
      <c r="G54" s="10" t="n">
        <v>126896.64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Четвертий платіж</t>
        </is>
      </c>
      <c r="F55" s="10" t="n">
        <v>573945</v>
      </c>
      <c r="G55" s="10" t="n">
        <v>573945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46224</v>
      </c>
      <c r="B56" s="9" t="n">
        <v>4766</v>
      </c>
      <c r="C56" s="9" t="inlineStr">
        <is>
          <t>ALTECO Carport Model Taurus 280кВт</t>
        </is>
      </c>
      <c r="D56" s="9" t="inlineStr">
        <is>
          <t>Заянчковський</t>
        </is>
      </c>
      <c r="E56" s="9" t="inlineStr">
        <is>
          <t>Третій платіж</t>
        </is>
      </c>
      <c r="F56" s="10" t="n">
        <v>4368478.98</v>
      </c>
      <c r="G56" s="10" t="n">
        <v>4368478.98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46225</v>
      </c>
      <c r="B57" s="9" t="n">
        <v>3456</v>
      </c>
      <c r="C57" s="9" t="inlineStr">
        <is>
          <t>А Підселання фундаменту</t>
        </is>
      </c>
      <c r="D57" s="9" t="inlineStr">
        <is>
          <t>Донська</t>
        </is>
      </c>
      <c r="E57" s="9" t="inlineStr">
        <is>
          <t>Третій платіж</t>
        </is>
      </c>
      <c r="F57" s="10" t="n">
        <v>335974.68</v>
      </c>
      <c r="G57" s="10" t="n">
        <v>0</v>
      </c>
      <c r="H57" s="11">
        <f>F57-G57</f>
        <v/>
      </c>
      <c r="I57" s="9" t="inlineStr">
        <is>
          <t>прострочено</t>
        </is>
      </c>
      <c r="J57" t="inlineStr">
        <is>
          <t>2026-07</t>
        </is>
      </c>
      <c r="K57" s="12" t="inlineStr"/>
    </row>
    <row r="58">
      <c r="A58" s="8" t="n">
        <v>46225</v>
      </c>
      <c r="B58" s="9" t="n">
        <v>5910</v>
      </c>
      <c r="C58" s="9" t="inlineStr">
        <is>
          <t>А   AGM 2V</t>
        </is>
      </c>
      <c r="D58" s="9" t="inlineStr">
        <is>
          <t>Донська</t>
        </is>
      </c>
      <c r="E58" s="9" t="inlineStr">
        <is>
          <t>Авансовий платіж</t>
        </is>
      </c>
      <c r="F58" s="10" t="n">
        <v>8531651.142000001</v>
      </c>
      <c r="G58" s="10" t="n">
        <v>8531651.142000001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>
        <is>
          <t>€167 091</t>
        </is>
      </c>
    </row>
    <row r="59">
      <c r="A59" s="8" t="n">
        <v>46231</v>
      </c>
      <c r="B59" s="9" t="n">
        <v>7894</v>
      </c>
      <c r="C59" s="9" t="inlineStr">
        <is>
          <t>А Фора  SCP  32PS</t>
        </is>
      </c>
      <c r="D59" s="9" t="inlineStr">
        <is>
          <t>Донська</t>
        </is>
      </c>
      <c r="E59" s="9" t="inlineStr">
        <is>
          <t>Четвертий платіж</t>
        </is>
      </c>
      <c r="F59" s="10" t="n">
        <v>737597.4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2026-07</t>
        </is>
      </c>
      <c r="K59" s="12" t="inlineStr"/>
    </row>
    <row r="60">
      <c r="A60" s="8" t="n">
        <v>46234</v>
      </c>
      <c r="B60" s="9" t="n">
        <v>7068</v>
      </c>
      <c r="C60" s="9" t="inlineStr">
        <is>
          <t>А Remtec energy  AGM  160 TP</t>
        </is>
      </c>
      <c r="D60" s="9" t="inlineStr">
        <is>
          <t>Александров</t>
        </is>
      </c>
      <c r="E60" s="9" t="inlineStr">
        <is>
          <t>Третій платіж</t>
        </is>
      </c>
      <c r="F60" s="10" t="n">
        <v>0</v>
      </c>
      <c r="G60" s="10" t="n">
        <v>2794670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46234</v>
      </c>
      <c r="B61" s="9" t="n">
        <v>7244</v>
      </c>
      <c r="C61" s="9" t="inlineStr">
        <is>
          <t>В Модулекс модульна будівля Чернігів</t>
        </is>
      </c>
      <c r="D61" s="9" t="inlineStr">
        <is>
          <t>Заянчковський</t>
        </is>
      </c>
      <c r="E61" s="9" t="inlineStr">
        <is>
          <t>П'ятий платіж</t>
        </is>
      </c>
      <c r="F61" s="10" t="n">
        <v>132708.6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46237</v>
      </c>
      <c r="B62" s="9" t="n">
        <v>6406</v>
      </c>
      <c r="C62" s="9" t="inlineStr">
        <is>
          <t>Максим Яловий Чинадієво</t>
        </is>
      </c>
      <c r="D62" s="9" t="inlineStr">
        <is>
          <t>Іщук</t>
        </is>
      </c>
      <c r="E62" s="9" t="inlineStr">
        <is>
          <t>Другий платіж</t>
        </is>
      </c>
      <c r="F62" s="10" t="n">
        <v>218602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2026-08</t>
        </is>
      </c>
      <c r="K62" s="12" t="inlineStr"/>
    </row>
    <row r="63">
      <c r="A63" s="8" t="n">
        <v>46237</v>
      </c>
      <c r="B63" s="9" t="n">
        <v>7894</v>
      </c>
      <c r="C63" s="9" t="inlineStr">
        <is>
          <t>А Фора  SCP  32PS</t>
        </is>
      </c>
      <c r="D63" s="9" t="inlineStr">
        <is>
          <t>Донська</t>
        </is>
      </c>
      <c r="E63" s="9" t="inlineStr">
        <is>
          <t>Другий платіж</t>
        </is>
      </c>
      <c r="F63" s="10" t="n">
        <v>185968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/>
    </row>
    <row r="64">
      <c r="A64" s="8" t="n">
        <v>46237</v>
      </c>
      <c r="B64" s="9" t="n">
        <v>8878</v>
      </c>
      <c r="C64" s="9" t="inlineStr">
        <is>
          <t>А ТОВ КОМПАНІЯ ВОЛЬТ СЕРВІС ГРУП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12823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46241</v>
      </c>
      <c r="B65" s="9" t="n">
        <v>5910</v>
      </c>
      <c r="C65" s="9" t="inlineStr">
        <is>
          <t>А   AGM 2V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17063302.284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>
        <is>
          <t>€334 181</t>
        </is>
      </c>
    </row>
    <row r="66">
      <c r="A66" s="8" t="n">
        <v>46245</v>
      </c>
      <c r="B66" s="9" t="n">
        <v>7894</v>
      </c>
      <c r="C66" s="9" t="inlineStr">
        <is>
          <t>А Фора  SCP  32PS</t>
        </is>
      </c>
      <c r="D66" s="9" t="inlineStr">
        <is>
          <t>Донська</t>
        </is>
      </c>
      <c r="E66" s="9" t="inlineStr">
        <is>
          <t>Третій платіж</t>
        </is>
      </c>
      <c r="F66" s="10" t="n">
        <v>185967.99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46260</v>
      </c>
      <c r="B67" s="9" t="n">
        <v>7002</v>
      </c>
      <c r="C67" s="9" t="inlineStr">
        <is>
          <t>А Фора  SCP W 24PS V1</t>
        </is>
      </c>
      <c r="D67" s="9" t="inlineStr">
        <is>
          <t>Донська</t>
        </is>
      </c>
      <c r="E67" s="9" t="inlineStr">
        <is>
          <t>П'ятий платіж</t>
        </is>
      </c>
      <c r="F67" s="10" t="n">
        <v>573945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46266</v>
      </c>
      <c r="B68" s="9" t="n">
        <v>4766</v>
      </c>
      <c r="C68" s="9" t="inlineStr">
        <is>
          <t>ALTECO Carport Model Taurus 280кВт</t>
        </is>
      </c>
      <c r="D68" s="9" t="inlineStr">
        <is>
          <t>Заянчковський</t>
        </is>
      </c>
      <c r="E68" s="9" t="inlineStr">
        <is>
          <t>Четвертий платіж</t>
        </is>
      </c>
      <c r="F68" s="10" t="n">
        <v>128100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  <c r="K68" s="12" t="inlineStr"/>
    </row>
    <row r="69">
      <c r="A69" s="8" t="n">
        <v>46267</v>
      </c>
      <c r="B69" s="9" t="n">
        <v>4766</v>
      </c>
      <c r="C69" s="9" t="inlineStr">
        <is>
          <t>ALTECO Carport Model Taurus 280кВт</t>
        </is>
      </c>
      <c r="D69" s="9" t="inlineStr">
        <is>
          <t>Заянчковський</t>
        </is>
      </c>
      <c r="E69" s="9" t="inlineStr">
        <is>
          <t>П'ятий платіж</t>
        </is>
      </c>
      <c r="F69" s="10" t="n">
        <v>1199397.42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2026-09</t>
        </is>
      </c>
      <c r="K69" s="12" t="inlineStr"/>
    </row>
    <row r="70">
      <c r="A70" s="8" t="n">
        <v>46273</v>
      </c>
      <c r="B70" s="9" t="n">
        <v>5910</v>
      </c>
      <c r="C70" s="9" t="inlineStr">
        <is>
          <t>А   AGM 2V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2843883.714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2026-09</t>
        </is>
      </c>
      <c r="K70" s="12" t="inlineStr">
        <is>
          <t>€55 697</t>
        </is>
      </c>
    </row>
    <row r="71">
      <c r="A71" s="8" t="n">
        <v>46282</v>
      </c>
      <c r="B71" s="9" t="n">
        <v>7894</v>
      </c>
      <c r="C71" s="9" t="inlineStr">
        <is>
          <t>А Фора  SCP  32PS</t>
        </is>
      </c>
      <c r="D71" s="9" t="inlineStr">
        <is>
          <t>Донська</t>
        </is>
      </c>
      <c r="E71" s="9" t="inlineStr">
        <is>
          <t>П'ятий платіж</t>
        </is>
      </c>
      <c r="F71" s="10" t="n">
        <v>737597.4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2026-09</t>
        </is>
      </c>
      <c r="K71" s="12" t="inlineStr"/>
    </row>
    <row r="72">
      <c r="E72" s="3" t="inlineStr">
        <is>
          <t>Разом</t>
        </is>
      </c>
      <c r="F72" s="13">
        <f>SUM(F2:F71)</f>
        <v/>
      </c>
      <c r="G72" s="13">
        <f>SUM(G2:G71)</f>
        <v/>
      </c>
      <c r="H72" s="13">
        <f>SUM(H2:H71)</f>
        <v/>
      </c>
    </row>
  </sheetData>
  <autoFilter ref="A1:I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3" t="inlineStr">
        <is>
          <t>Разом</t>
        </is>
      </c>
      <c r="B8" s="13">
        <f>SUM(B2:B7)</f>
        <v/>
      </c>
      <c r="C8" s="13">
        <f>SUM(C2:C7)</f>
        <v/>
      </c>
      <c r="D8" s="13">
        <f>SUM(D2:D7)</f>
        <v/>
      </c>
      <c r="E8" s="15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7746874.260000001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4566551.100000001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46225</v>
      </c>
      <c r="B5" s="9" t="n">
        <v>3456</v>
      </c>
      <c r="C5" s="9" t="inlineStr">
        <is>
          <t>А Підселання фундаменту</t>
        </is>
      </c>
      <c r="D5" s="9" t="inlineStr">
        <is>
          <t>Третій платіж</t>
        </is>
      </c>
      <c r="E5" s="11" t="n">
        <v>335974.68</v>
      </c>
      <c r="F5" s="11" t="n">
        <v>0</v>
      </c>
      <c r="G5" s="11">
        <f>E5-F5</f>
        <v/>
      </c>
    </row>
    <row r="6">
      <c r="A6" s="8" t="n">
        <v>46213</v>
      </c>
      <c r="B6" s="9" t="n">
        <v>8188</v>
      </c>
      <c r="C6" s="9" t="inlineStr">
        <is>
          <t>Фундамент Ужгород Стефанія</t>
        </is>
      </c>
      <c r="D6" s="9" t="inlineStr">
        <is>
          <t>Другий платіж</t>
        </is>
      </c>
      <c r="E6" s="11" t="n">
        <v>73926</v>
      </c>
      <c r="F6" s="11" t="n">
        <v>0</v>
      </c>
      <c r="G6" s="11">
        <f>E6-F6</f>
        <v/>
      </c>
    </row>
    <row r="7">
      <c r="D7" s="3" t="inlineStr">
        <is>
          <t>Разом</t>
        </is>
      </c>
      <c r="E7" s="13">
        <f>SUM(E2:E6)</f>
        <v/>
      </c>
      <c r="F7" s="13">
        <f>SUM(F2:F6)</f>
        <v/>
      </c>
      <c r="G7" s="13">
        <f>SUM(G2:G6)</f>
        <v/>
      </c>
    </row>
  </sheetData>
  <autoFilter ref="A1:G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2026-07-26T13:06:06Z</dcterms:created>
  <dcterms:modified xmlns:dcterms="http://purl.org/dc/terms/" xmlns:xsi="http://www.w3.org/2001/XMLSchema-instance" xsi:type="dcterms:W3CDTF">2026-07-26T13:06:06Z</dcterms:modified>
</cp:coreProperties>
</file>