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надходжень'!$A$1:$I$90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27.08.2026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2600500</v>
      </c>
      <c r="G10" s="10" t="n">
        <v>2600500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5201000</v>
      </c>
      <c r="G11" s="10" t="n">
        <v>5201000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1872360</v>
      </c>
      <c r="G39" s="10" t="n">
        <v>1872360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457688</v>
      </c>
      <c r="G44" s="10" t="n">
        <v>457688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8690350.9</v>
      </c>
      <c r="G54" s="10" t="n">
        <v>8690350.9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4093187</v>
      </c>
      <c r="G57" s="10" t="n">
        <v>4093187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4978657.25</v>
      </c>
      <c r="G66" s="10" t="n">
        <v>4978657.25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758045.75</v>
      </c>
      <c r="G67" s="10" t="n">
        <v>758045.75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46255</v>
      </c>
      <c r="B68" s="9" t="n">
        <v>7414</v>
      </c>
      <c r="C68" s="9" t="inlineStr">
        <is>
          <t>-26 ГШ Фундамент домобудування Володимир</t>
        </is>
      </c>
      <c r="D68" s="9" t="inlineStr">
        <is>
          <t>Заянчковський</t>
        </is>
      </c>
      <c r="E68" s="9" t="inlineStr">
        <is>
          <t>Авансовий платіж</t>
        </is>
      </c>
      <c r="F68" s="10" t="n">
        <v>94000</v>
      </c>
      <c r="G68" s="10" t="n">
        <v>94000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46255</v>
      </c>
      <c r="B69" s="9" t="n">
        <v>7894</v>
      </c>
      <c r="C69" s="9" t="inlineStr">
        <is>
          <t>SCP Фора  Хотів</t>
        </is>
      </c>
      <c r="D69" s="9" t="inlineStr">
        <is>
          <t>Донська</t>
        </is>
      </c>
      <c r="E69" s="9" t="inlineStr">
        <is>
          <t>Другий платіж</t>
        </is>
      </c>
      <c r="F69" s="10" t="n">
        <v>185968</v>
      </c>
      <c r="G69" s="10" t="n">
        <v>185968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/>
    </row>
    <row r="70">
      <c r="A70" s="8" t="n">
        <v>46255</v>
      </c>
      <c r="B70" s="9" t="n">
        <v>7894</v>
      </c>
      <c r="C70" s="9" t="inlineStr">
        <is>
          <t>SCP Фора  Хотів</t>
        </is>
      </c>
      <c r="D70" s="9" t="inlineStr">
        <is>
          <t>Донська</t>
        </is>
      </c>
      <c r="E70" s="9" t="inlineStr">
        <is>
          <t>Третій платіж</t>
        </is>
      </c>
      <c r="F70" s="10" t="n">
        <v>185967.99</v>
      </c>
      <c r="G70" s="10" t="n">
        <v>185967.99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7894</v>
      </c>
      <c r="C71" s="9" t="inlineStr">
        <is>
          <t>SCP Фора  Хотів</t>
        </is>
      </c>
      <c r="D71" s="9" t="inlineStr">
        <is>
          <t>Донська</t>
        </is>
      </c>
      <c r="E71" s="9" t="inlineStr">
        <is>
          <t>Четвертий платіж</t>
        </is>
      </c>
      <c r="F71" s="10" t="n">
        <v>737597.4</v>
      </c>
      <c r="G71" s="10" t="n">
        <v>737597.4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8898</v>
      </c>
      <c r="C72" s="9" t="inlineStr">
        <is>
          <t>Григорівка №3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188043.75</v>
      </c>
      <c r="G72" s="10" t="n">
        <v>188043.75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46260</v>
      </c>
      <c r="B73" s="9" t="n">
        <v>6406</v>
      </c>
      <c r="C73" s="9" t="inlineStr">
        <is>
          <t>Максим Яловий Чинадієво</t>
        </is>
      </c>
      <c r="D73" s="9" t="inlineStr">
        <is>
          <t>Іщук</t>
        </is>
      </c>
      <c r="E73" s="9" t="inlineStr">
        <is>
          <t>Другий платіж</t>
        </is>
      </c>
      <c r="F73" s="10" t="n">
        <v>218602</v>
      </c>
      <c r="G73" s="10" t="n">
        <v>0</v>
      </c>
      <c r="H73" s="11">
        <f>F73-G73</f>
        <v/>
      </c>
      <c r="I73" s="9" t="inlineStr">
        <is>
          <t>прострочено</t>
        </is>
      </c>
      <c r="J73" t="inlineStr">
        <is>
          <t>2026-08</t>
        </is>
      </c>
      <c r="K73" s="12" t="inlineStr"/>
    </row>
    <row r="74">
      <c r="A74" s="8" t="n">
        <v>46264</v>
      </c>
      <c r="B74" s="9" t="n">
        <v>5870</v>
      </c>
      <c r="C74" s="9" t="inlineStr">
        <is>
          <t>Carport Airport Munich</t>
        </is>
      </c>
      <c r="D74" s="9" t="inlineStr">
        <is>
          <t>Хома</t>
        </is>
      </c>
      <c r="E74" s="9" t="inlineStr">
        <is>
          <t>Четвертий платіж</t>
        </is>
      </c>
      <c r="F74" s="10" t="n">
        <v>910175</v>
      </c>
      <c r="G74" s="10" t="n">
        <v>0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>
        <is>
          <t>€17 500</t>
        </is>
      </c>
    </row>
    <row r="75">
      <c r="A75" s="8" t="n">
        <v>46265</v>
      </c>
      <c r="B75" s="9" t="n">
        <v>7244</v>
      </c>
      <c r="C75" s="9" t="inlineStr">
        <is>
          <t>В Модулекс модульна будівля Чернігів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132708.6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8878</v>
      </c>
      <c r="C76" s="9" t="inlineStr">
        <is>
          <t>А ТОВ КОМПАНІЯ ВОЛЬТ СЕРВІС ГРУП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12823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46266</v>
      </c>
      <c r="B77" s="9" t="n">
        <v>3456</v>
      </c>
      <c r="C77" s="9" t="inlineStr">
        <is>
          <t>А Підселання фундаменту</t>
        </is>
      </c>
      <c r="D77" s="9" t="inlineStr">
        <is>
          <t>Донська</t>
        </is>
      </c>
      <c r="E77" s="9" t="inlineStr">
        <is>
          <t>Третій платіж</t>
        </is>
      </c>
      <c r="F77" s="10" t="n">
        <v>335974.68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/>
    </row>
    <row r="78">
      <c r="A78" s="8" t="n">
        <v>46267</v>
      </c>
      <c r="B78" s="9" t="n">
        <v>4766</v>
      </c>
      <c r="C78" s="9" t="inlineStr">
        <is>
          <t>ALTECO Carport Model Taurus 280кВт</t>
        </is>
      </c>
      <c r="D78" s="9" t="inlineStr">
        <is>
          <t>Заянчковський</t>
        </is>
      </c>
      <c r="E78" s="9" t="inlineStr">
        <is>
          <t>П'ятий платіж</t>
        </is>
      </c>
      <c r="F78" s="10" t="n">
        <v>1263447.42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46270</v>
      </c>
      <c r="B79" s="9" t="n">
        <v>5910</v>
      </c>
      <c r="C79" s="9" t="inlineStr">
        <is>
          <t>SGM Brdovec, Хорватия</t>
        </is>
      </c>
      <c r="D79" s="9" t="inlineStr">
        <is>
          <t>Донська</t>
        </is>
      </c>
      <c r="E79" s="9" t="inlineStr">
        <is>
          <t>Другий платіж 60%</t>
        </is>
      </c>
      <c r="F79" s="10" t="n">
        <v>17380753.81</v>
      </c>
      <c r="G79" s="10" t="n">
        <v>2986414.2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>
        <is>
          <t>€334 181</t>
        </is>
      </c>
    </row>
    <row r="80">
      <c r="A80" s="8" t="n">
        <v>46272</v>
      </c>
      <c r="B80" s="9" t="n">
        <v>6352</v>
      </c>
      <c r="C80" s="9" t="inlineStr">
        <is>
          <t>АБМК SCP Blade 8PS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1119237.26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46273</v>
      </c>
      <c r="B81" s="9" t="n">
        <v>7002</v>
      </c>
      <c r="C81" s="9" t="inlineStr">
        <is>
          <t>Фора SCP Млиново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573945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46280</v>
      </c>
      <c r="B82" s="9" t="n">
        <v>8898</v>
      </c>
      <c r="C82" s="9" t="inlineStr">
        <is>
          <t>Григорівка №3</t>
        </is>
      </c>
      <c r="D82" s="9" t="inlineStr">
        <is>
          <t>Донська</t>
        </is>
      </c>
      <c r="E82" s="9" t="inlineStr">
        <is>
          <t>Третій платіж</t>
        </is>
      </c>
      <c r="F82" s="10" t="n">
        <v>188043.75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7508</v>
      </c>
      <c r="C83" s="9" t="inlineStr">
        <is>
          <t>8602 Євген Весільна тераса Подорожнє</t>
        </is>
      </c>
      <c r="D83" s="9" t="inlineStr">
        <is>
          <t>Заянчковський</t>
        </is>
      </c>
      <c r="E83" s="9" t="inlineStr">
        <is>
          <t>Третій платіж</t>
        </is>
      </c>
      <c r="F83" s="10" t="n">
        <v>750999.9399999999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46288</v>
      </c>
      <c r="B84" s="9" t="n">
        <v>7414</v>
      </c>
      <c r="C84" s="9" t="inlineStr">
        <is>
          <t>-26 ГШ Фундамент домобудування Володимир</t>
        </is>
      </c>
      <c r="D84" s="9" t="inlineStr">
        <is>
          <t>Заянчковський</t>
        </is>
      </c>
      <c r="E84" s="9" t="inlineStr">
        <is>
          <t>Другий платіж</t>
        </is>
      </c>
      <c r="F84" s="10" t="n">
        <v>57497.5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46295</v>
      </c>
      <c r="B85" s="9" t="n">
        <v>7414</v>
      </c>
      <c r="C85" s="9" t="inlineStr">
        <is>
          <t>-26 ГШ Фундамент домобудування Володимир</t>
        </is>
      </c>
      <c r="D85" s="9" t="inlineStr">
        <is>
          <t>Заянчковський</t>
        </is>
      </c>
      <c r="E85" s="9" t="inlineStr">
        <is>
          <t>Третій платіж</t>
        </is>
      </c>
      <c r="F85" s="10" t="n">
        <v>57497.5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46298</v>
      </c>
      <c r="B86" s="9" t="n">
        <v>7894</v>
      </c>
      <c r="C86" s="9" t="inlineStr">
        <is>
          <t>SCP Фора  Хотів</t>
        </is>
      </c>
      <c r="D86" s="9" t="inlineStr">
        <is>
          <t>Донська</t>
        </is>
      </c>
      <c r="E86" s="9" t="inlineStr">
        <is>
          <t>П'ятий платіж</t>
        </is>
      </c>
      <c r="F86" s="10" t="n">
        <v>737597.4</v>
      </c>
      <c r="G86" s="10" t="n">
        <v>0</v>
      </c>
      <c r="H86" s="11">
        <f>F86-G86</f>
        <v/>
      </c>
      <c r="I86" s="9" t="inlineStr">
        <is>
          <t>очікується</t>
        </is>
      </c>
      <c r="J86" t="inlineStr">
        <is>
          <t>2026-10</t>
        </is>
      </c>
      <c r="K86" s="12" t="inlineStr"/>
    </row>
    <row r="87">
      <c r="A87" s="8" t="n">
        <v>46300</v>
      </c>
      <c r="B87" s="9" t="n">
        <v>5910</v>
      </c>
      <c r="C87" s="9" t="inlineStr">
        <is>
          <t>SGM Brdovec, Хорватия</t>
        </is>
      </c>
      <c r="D87" s="9" t="inlineStr">
        <is>
          <t>Донська</t>
        </is>
      </c>
      <c r="E87" s="9" t="inlineStr">
        <is>
          <t>Третій платіж</t>
        </is>
      </c>
      <c r="F87" s="10" t="n">
        <v>2896644.94</v>
      </c>
      <c r="G87" s="10" t="n">
        <v>248867.85</v>
      </c>
      <c r="H87" s="11">
        <f>F87-G87</f>
        <v/>
      </c>
      <c r="I87" s="9" t="inlineStr">
        <is>
          <t>очікується</t>
        </is>
      </c>
      <c r="J87" t="inlineStr">
        <is>
          <t>2026-10</t>
        </is>
      </c>
      <c r="K87" s="12" t="inlineStr">
        <is>
          <t>€55 694</t>
        </is>
      </c>
    </row>
    <row r="88">
      <c r="A88" s="8" t="n">
        <v>46304</v>
      </c>
      <c r="B88" s="9" t="n">
        <v>6024</v>
      </c>
      <c r="C88" s="9" t="inlineStr">
        <is>
          <t>-26 ГШ с. Липовиця Черніг. обл. Модулекс</t>
        </is>
      </c>
      <c r="D88" s="9" t="inlineStr">
        <is>
          <t>Заянчковський</t>
        </is>
      </c>
      <c r="E88" s="9" t="inlineStr">
        <is>
          <t>Другий платіж</t>
        </is>
      </c>
      <c r="F88" s="10" t="n">
        <v>246402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2026-10</t>
        </is>
      </c>
      <c r="K88" s="12" t="inlineStr"/>
    </row>
    <row r="89">
      <c r="A89" s="8" t="n">
        <v>46308</v>
      </c>
      <c r="B89" s="9" t="n">
        <v>6352</v>
      </c>
      <c r="C89" s="9" t="inlineStr">
        <is>
          <t>АБМК SCP Blade 8PS</t>
        </is>
      </c>
      <c r="D89" s="9" t="inlineStr">
        <is>
          <t>Донська</t>
        </is>
      </c>
      <c r="E89" s="9" t="inlineStr">
        <is>
          <t>Четвертий платіж</t>
        </is>
      </c>
      <c r="F89" s="10" t="n">
        <v>371982.96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2026-10</t>
        </is>
      </c>
      <c r="K89" s="12" t="inlineStr"/>
    </row>
    <row r="90">
      <c r="A90" s="8" t="n">
        <v>46321</v>
      </c>
      <c r="B90" s="9" t="n">
        <v>6352</v>
      </c>
      <c r="C90" s="9" t="inlineStr">
        <is>
          <t>АБМК SCP Blade 8PS</t>
        </is>
      </c>
      <c r="D90" s="9" t="inlineStr">
        <is>
          <t>Донська</t>
        </is>
      </c>
      <c r="E90" s="9" t="inlineStr">
        <is>
          <t>П'ятий платіж</t>
        </is>
      </c>
      <c r="F90" s="10" t="n">
        <v>651792.28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2026-10</t>
        </is>
      </c>
      <c r="K90" s="12" t="inlineStr"/>
    </row>
    <row r="91">
      <c r="E91" s="3" t="inlineStr">
        <is>
          <t>Разом</t>
        </is>
      </c>
      <c r="F91" s="13">
        <f>SUM(F2:F90)</f>
        <v/>
      </c>
      <c r="G91" s="13">
        <f>SUM(G2:G90)</f>
        <v/>
      </c>
      <c r="H91" s="13">
        <f>SUM(H2:H90)</f>
        <v/>
      </c>
    </row>
  </sheetData>
  <autoFilter ref="A1:I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46260</v>
      </c>
      <c r="B2" s="9" t="n">
        <v>6406</v>
      </c>
      <c r="C2" s="9" t="inlineStr">
        <is>
          <t>Максим Яловий Чинадієво</t>
        </is>
      </c>
      <c r="D2" s="9" t="inlineStr">
        <is>
          <t>Другий платіж</t>
        </is>
      </c>
      <c r="E2" s="11" t="n">
        <v>218602</v>
      </c>
      <c r="F2" s="11" t="n">
        <v>0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2026-08-27T03:58:35Z</dcterms:created>
  <dcterms:modified xmlns:dcterms="http://purl.org/dc/terms/" xmlns:xsi="http://www.w3.org/2001/XMLSchema-instance" xsi:type="dcterms:W3CDTF">2026-08-27T03:58:35Z</dcterms:modified>
</cp:coreProperties>
</file>