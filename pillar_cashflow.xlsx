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надходжень'!$A$1:$I$62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01.07.2026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6396000</v>
      </c>
      <c r="G40" s="10" t="n">
        <v>0</v>
      </c>
      <c r="H40" s="11">
        <f>F40-G40</f>
        <v/>
      </c>
      <c r="I40" s="9" t="inlineStr">
        <is>
          <t>прострочено</t>
        </is>
      </c>
      <c r="J40" t="inlineStr">
        <is>
          <t>2026-06</t>
        </is>
      </c>
    </row>
    <row r="41">
      <c r="A41" s="8" t="n">
        <v>46203</v>
      </c>
      <c r="B41" s="9" t="n">
        <v>5870</v>
      </c>
      <c r="C41" s="9" t="inlineStr">
        <is>
          <t>Carport Airport Munich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7800000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46203</v>
      </c>
      <c r="B42" s="9" t="n">
        <v>8185</v>
      </c>
      <c r="C42" s="9" t="inlineStr">
        <is>
          <t>Фундамент Hytte House Development Славське</t>
        </is>
      </c>
      <c r="D42" s="9" t="inlineStr">
        <is>
          <t>Донська</t>
        </is>
      </c>
      <c r="E42" s="9" t="inlineStr">
        <is>
          <t>Другий платіж</t>
        </is>
      </c>
      <c r="F42" s="10" t="n">
        <v>63313.4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46204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Авансовий платіж</t>
        </is>
      </c>
      <c r="F43" s="10" t="n">
        <v>120000</v>
      </c>
      <c r="G43" s="10" t="n">
        <v>20000</v>
      </c>
      <c r="H43" s="11">
        <f>F43-G43</f>
        <v/>
      </c>
      <c r="I43" s="9" t="inlineStr">
        <is>
          <t>прострочено</t>
        </is>
      </c>
      <c r="J43" t="inlineStr">
        <is>
          <t>2026-07</t>
        </is>
      </c>
    </row>
    <row r="44">
      <c r="A44" s="8" t="n">
        <v>46204</v>
      </c>
      <c r="B44" s="9" t="n">
        <v>5910</v>
      </c>
      <c r="C44" s="9" t="inlineStr">
        <is>
          <t>А   AGM 2V</t>
        </is>
      </c>
      <c r="D44" s="9" t="inlineStr">
        <is>
          <t>Донська</t>
        </is>
      </c>
      <c r="E44" s="9" t="inlineStr">
        <is>
          <t>Авансовий платіж</t>
        </is>
      </c>
      <c r="F44" s="10" t="n">
        <v>10136835.8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46206</v>
      </c>
      <c r="B45" s="9" t="n">
        <v>7244</v>
      </c>
      <c r="C45" s="9" t="inlineStr">
        <is>
          <t>В Модулекс модульна будівля Чернігів</t>
        </is>
      </c>
      <c r="D45" s="9" t="inlineStr">
        <is>
          <t>Заянчковський</t>
        </is>
      </c>
      <c r="E45" s="9" t="inlineStr">
        <is>
          <t>П'ятий платіж</t>
        </is>
      </c>
      <c r="F45" s="10" t="n">
        <v>132708.6</v>
      </c>
      <c r="G45" s="10" t="n">
        <v>0</v>
      </c>
      <c r="H45" s="11">
        <f>F45-G45</f>
        <v/>
      </c>
      <c r="I45" s="9" t="inlineStr">
        <is>
          <t>очікується</t>
        </is>
      </c>
      <c r="J45" t="inlineStr">
        <is>
          <t>2026-07</t>
        </is>
      </c>
    </row>
    <row r="46">
      <c r="A46" s="8" t="n">
        <v>46209</v>
      </c>
      <c r="B46" s="9" t="n">
        <v>8188</v>
      </c>
      <c r="C46" s="9" t="inlineStr">
        <is>
          <t>Фундамент Ужгород Стефанія</t>
        </is>
      </c>
      <c r="D46" s="9" t="inlineStr">
        <is>
          <t>Александров</t>
        </is>
      </c>
      <c r="E46" s="9" t="inlineStr">
        <is>
          <t>Другий платіж</t>
        </is>
      </c>
      <c r="F46" s="10" t="n">
        <v>73926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46210</v>
      </c>
      <c r="B47" s="9" t="n">
        <v>7002</v>
      </c>
      <c r="C47" s="9" t="inlineStr">
        <is>
          <t>А Фора  SCP W 24PS V1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126896.64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46211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46211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46212</v>
      </c>
      <c r="B50" s="9" t="n">
        <v>6406</v>
      </c>
      <c r="C50" s="9" t="inlineStr">
        <is>
          <t>Максим Яловий Чинадієво</t>
        </is>
      </c>
      <c r="D50" s="9" t="inlineStr">
        <is>
          <t>Александров</t>
        </is>
      </c>
      <c r="E50" s="9" t="inlineStr">
        <is>
          <t>Другий платіж</t>
        </is>
      </c>
      <c r="F50" s="10" t="n">
        <v>218602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46225</v>
      </c>
      <c r="B51" s="9" t="n">
        <v>3456</v>
      </c>
      <c r="C51" s="9" t="inlineStr">
        <is>
          <t>А Підселання фундаменту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335974.68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8008</v>
      </c>
      <c r="C52" s="9" t="inlineStr">
        <is>
          <t>Модулі Григорівка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178088.4</v>
      </c>
      <c r="G52" s="10" t="n">
        <v>178088.4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</row>
    <row r="53">
      <c r="A53" s="8" t="n">
        <v>46228</v>
      </c>
      <c r="B53" s="9" t="n">
        <v>5910</v>
      </c>
      <c r="C53" s="9" t="inlineStr">
        <is>
          <t>А   AGM 2V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15929313.4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46231</v>
      </c>
      <c r="B54" s="9" t="n">
        <v>7894</v>
      </c>
      <c r="C54" s="9" t="inlineStr">
        <is>
          <t>А Фора  SCP  32PS</t>
        </is>
      </c>
      <c r="D54" s="9" t="inlineStr">
        <is>
          <t>Донська</t>
        </is>
      </c>
      <c r="E54" s="9" t="inlineStr">
        <is>
          <t>Четвертий платіж</t>
        </is>
      </c>
      <c r="F54" s="10" t="n">
        <v>737597.4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46233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178088.4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46234</v>
      </c>
      <c r="B56" s="9" t="n">
        <v>7894</v>
      </c>
      <c r="C56" s="9" t="inlineStr">
        <is>
          <t>А Фора  SCP  32PS</t>
        </is>
      </c>
      <c r="D56" s="9" t="inlineStr">
        <is>
          <t>Донська</t>
        </is>
      </c>
      <c r="E56" s="9" t="inlineStr">
        <is>
          <t>Другий платіж</t>
        </is>
      </c>
      <c r="F56" s="10" t="n">
        <v>185968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46245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185967.99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2026-08</t>
        </is>
      </c>
    </row>
    <row r="58">
      <c r="A58" s="8" t="n">
        <v>46249</v>
      </c>
      <c r="B58" s="9" t="n">
        <v>7002</v>
      </c>
      <c r="C58" s="9" t="inlineStr">
        <is>
          <t>А Фора  SCP W 24PS V1</t>
        </is>
      </c>
      <c r="D58" s="9" t="inlineStr">
        <is>
          <t>Донська</t>
        </is>
      </c>
      <c r="E58" s="9" t="inlineStr">
        <is>
          <t>Четвертий платіж</t>
        </is>
      </c>
      <c r="F58" s="10" t="n">
        <v>573945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46260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2896238.8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7002</v>
      </c>
      <c r="C60" s="9" t="inlineStr">
        <is>
          <t>А Фора  SCP W 24PS V1</t>
        </is>
      </c>
      <c r="D60" s="9" t="inlineStr">
        <is>
          <t>Донська</t>
        </is>
      </c>
      <c r="E60" s="9" t="inlineStr">
        <is>
          <t>П'ятий платіж</t>
        </is>
      </c>
      <c r="F60" s="10" t="n">
        <v>573945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46282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П'ятий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2026-09</t>
        </is>
      </c>
    </row>
    <row r="62">
      <c r="A62" s="8" t="n">
        <v>46286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4880000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E63" s="3" t="inlineStr">
        <is>
          <t>Разом</t>
        </is>
      </c>
      <c r="F63" s="12">
        <f>SUM(F2:F62)</f>
        <v/>
      </c>
      <c r="G63" s="12">
        <f>SUM(G2:G62)</f>
        <v/>
      </c>
      <c r="H63" s="12">
        <f>SUM(H2:H62)</f>
        <v/>
      </c>
    </row>
  </sheetData>
  <autoFilter ref="A1:I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46204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10136835.8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46202</v>
      </c>
      <c r="B4" s="9" t="n">
        <v>6704</v>
      </c>
      <c r="C4" s="9" t="inlineStr">
        <is>
          <t>SCP Taurus 236PS</t>
        </is>
      </c>
      <c r="D4" s="9" t="inlineStr">
        <is>
          <t>Другий платіж</t>
        </is>
      </c>
      <c r="E4" s="11" t="n">
        <v>6396000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46204</v>
      </c>
      <c r="B6" s="9" t="n">
        <v>4766</v>
      </c>
      <c r="C6" s="9" t="inlineStr">
        <is>
          <t>ALTECO Carport Model Taurus 280кВт</t>
        </is>
      </c>
      <c r="D6" s="9" t="inlineStr">
        <is>
          <t>Авансовий платіж</t>
        </is>
      </c>
      <c r="E6" s="11" t="n">
        <v>120000</v>
      </c>
      <c r="F6" s="11" t="n">
        <v>20000</v>
      </c>
      <c r="G6" s="11">
        <f>E6-F6</f>
        <v/>
      </c>
    </row>
    <row r="7">
      <c r="A7" s="8" t="n">
        <v>46203</v>
      </c>
      <c r="B7" s="9" t="n">
        <v>8185</v>
      </c>
      <c r="C7" s="9" t="inlineStr">
        <is>
          <t>Фундамент Hytte House Development Славське</t>
        </is>
      </c>
      <c r="D7" s="9" t="inlineStr">
        <is>
          <t>Другий платіж</t>
        </is>
      </c>
      <c r="E7" s="11" t="n">
        <v>63313.4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2">
        <f>SUM(E2:E7)</f>
        <v/>
      </c>
      <c r="F8" s="12">
        <f>SUM(F2:F7)</f>
        <v/>
      </c>
      <c r="G8" s="12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2026-07-01T03:36:33Z</dcterms:created>
  <dcterms:modified xmlns:dcterms="http://purl.org/dc/terms/" xmlns:xsi="http://www.w3.org/2001/XMLSchema-instance" xsi:type="dcterms:W3CDTF">2026-07-01T03:36:33Z</dcterms:modified>
</cp:coreProperties>
</file>