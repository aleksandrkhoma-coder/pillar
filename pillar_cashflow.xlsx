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надходжень'!$A$1:$I$63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07.07.2026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6396000</v>
      </c>
      <c r="G40" s="10" t="n">
        <v>0</v>
      </c>
      <c r="H40" s="11">
        <f>F40-G40</f>
        <v/>
      </c>
      <c r="I40" s="9" t="inlineStr">
        <is>
          <t>прострочено</t>
        </is>
      </c>
      <c r="J40" t="inlineStr">
        <is>
          <t>2026-06</t>
        </is>
      </c>
    </row>
    <row r="41">
      <c r="A41" s="8" t="n">
        <v>46203</v>
      </c>
      <c r="B41" s="9" t="n">
        <v>5870</v>
      </c>
      <c r="C41" s="9" t="inlineStr">
        <is>
          <t>Carport Airport Munich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7800000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46204</v>
      </c>
      <c r="B42" s="9" t="n">
        <v>4766</v>
      </c>
      <c r="C42" s="9" t="inlineStr">
        <is>
          <t>ALTECO Carport Model Taurus 280кВт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20000</v>
      </c>
      <c r="G42" s="10" t="n">
        <v>20000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</row>
    <row r="43">
      <c r="A43" s="8" t="n">
        <v>46206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Другий платіж</t>
        </is>
      </c>
      <c r="F43" s="10" t="n">
        <v>100000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2026-07</t>
        </is>
      </c>
    </row>
    <row r="44">
      <c r="A44" s="8" t="n">
        <v>46209</v>
      </c>
      <c r="B44" s="9" t="n">
        <v>8185</v>
      </c>
      <c r="C44" s="9" t="inlineStr">
        <is>
          <t>Фундамент Hytte House Development Славське</t>
        </is>
      </c>
      <c r="D44" s="9" t="inlineStr">
        <is>
          <t>Донська</t>
        </is>
      </c>
      <c r="E44" s="9" t="inlineStr">
        <is>
          <t>Другий платіж</t>
        </is>
      </c>
      <c r="F44" s="10" t="n">
        <v>63313.4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8188</v>
      </c>
      <c r="C45" s="9" t="inlineStr">
        <is>
          <t>Фундамент Ужгород Стефанія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73926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46211</v>
      </c>
      <c r="B46" s="9" t="n">
        <v>5910</v>
      </c>
      <c r="C46" s="9" t="inlineStr">
        <is>
          <t>А   AGM 2V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8517966.4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46211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63313.4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46212</v>
      </c>
      <c r="B48" s="9" t="n">
        <v>6406</v>
      </c>
      <c r="C48" s="9" t="inlineStr">
        <is>
          <t>Максим Яловий Чинадієво</t>
        </is>
      </c>
      <c r="D48" s="9" t="inlineStr">
        <is>
          <t>Александров</t>
        </is>
      </c>
      <c r="E48" s="9" t="inlineStr">
        <is>
          <t>Другий платіж</t>
        </is>
      </c>
      <c r="F48" s="10" t="n">
        <v>218602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46213</v>
      </c>
      <c r="B49" s="9" t="n">
        <v>7002</v>
      </c>
      <c r="C49" s="9" t="inlineStr">
        <is>
          <t>А Фора  SCP W 24PS V1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126896.64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46217</v>
      </c>
      <c r="B50" s="9" t="n">
        <v>7002</v>
      </c>
      <c r="C50" s="9" t="inlineStr">
        <is>
          <t>А Фора  SCP W 24PS V1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126896.64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46225</v>
      </c>
      <c r="B51" s="9" t="n">
        <v>3456</v>
      </c>
      <c r="C51" s="9" t="inlineStr">
        <is>
          <t>А Підселання фундаменту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335974.68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8008</v>
      </c>
      <c r="C52" s="9" t="inlineStr">
        <is>
          <t>Модулі Григорівка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178088.4</v>
      </c>
      <c r="G52" s="10" t="n">
        <v>178088.4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46228</v>
      </c>
      <c r="B53" s="9" t="n">
        <v>5910</v>
      </c>
      <c r="C53" s="9" t="inlineStr">
        <is>
          <t>А   AGM 2V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17035932.8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46231</v>
      </c>
      <c r="B54" s="9" t="n">
        <v>7894</v>
      </c>
      <c r="C54" s="9" t="inlineStr">
        <is>
          <t>А Фора  SCP  32PS</t>
        </is>
      </c>
      <c r="D54" s="9" t="inlineStr">
        <is>
          <t>Донська</t>
        </is>
      </c>
      <c r="E54" s="9" t="inlineStr">
        <is>
          <t>Четвертий платіж</t>
        </is>
      </c>
      <c r="F54" s="10" t="n">
        <v>737597.4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46233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178088.4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46234</v>
      </c>
      <c r="B56" s="9" t="n">
        <v>7244</v>
      </c>
      <c r="C56" s="9" t="inlineStr">
        <is>
          <t>В Модулекс модульна будівля Чернігів</t>
        </is>
      </c>
      <c r="D56" s="9" t="inlineStr">
        <is>
          <t>Заянчковський</t>
        </is>
      </c>
      <c r="E56" s="9" t="inlineStr">
        <is>
          <t>П'ятий платіж</t>
        </is>
      </c>
      <c r="F56" s="10" t="n">
        <v>132708.6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46249</v>
      </c>
      <c r="B59" s="9" t="n">
        <v>7002</v>
      </c>
      <c r="C59" s="9" t="inlineStr">
        <is>
          <t>А Фора  SCP W 24PS V1</t>
        </is>
      </c>
      <c r="D59" s="9" t="inlineStr">
        <is>
          <t>Донська</t>
        </is>
      </c>
      <c r="E59" s="9" t="inlineStr">
        <is>
          <t>Четвертий платіж</t>
        </is>
      </c>
      <c r="F59" s="10" t="n">
        <v>573945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Третій платіж</t>
        </is>
      </c>
      <c r="F60" s="10" t="n">
        <v>2896238.8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46260</v>
      </c>
      <c r="B61" s="9" t="n">
        <v>7002</v>
      </c>
      <c r="C61" s="9" t="inlineStr">
        <is>
          <t>А Фора  SCP W 24PS V1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573945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46282</v>
      </c>
      <c r="B62" s="9" t="n">
        <v>7894</v>
      </c>
      <c r="C62" s="9" t="inlineStr">
        <is>
          <t>А Фора  SCP  32PS</t>
        </is>
      </c>
      <c r="D62" s="9" t="inlineStr">
        <is>
          <t>Донська</t>
        </is>
      </c>
      <c r="E62" s="9" t="inlineStr">
        <is>
          <t>П'ятий платіж</t>
        </is>
      </c>
      <c r="F62" s="10" t="n">
        <v>737597.4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A63" s="8" t="n">
        <v>46307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П'ятий платіж</t>
        </is>
      </c>
      <c r="F63" s="10" t="n">
        <v>4880000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2026-10</t>
        </is>
      </c>
    </row>
    <row r="64">
      <c r="E64" s="3" t="inlineStr">
        <is>
          <t>Разом</t>
        </is>
      </c>
      <c r="F64" s="12">
        <f>SUM(F2:F63)</f>
        <v/>
      </c>
      <c r="G64" s="12">
        <f>SUM(G2:G63)</f>
        <v/>
      </c>
      <c r="H64" s="12">
        <f>SUM(H2:H63)</f>
        <v/>
      </c>
    </row>
  </sheetData>
  <autoFilter ref="A1:I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3">
        <f>IF(B8=0,0,C8/B8)</f>
        <v/>
      </c>
    </row>
    <row r="9">
      <c r="A9" s="3" t="inlineStr">
        <is>
          <t>Разом</t>
        </is>
      </c>
      <c r="B9" s="12">
        <f>SUM(B2:B8)</f>
        <v/>
      </c>
      <c r="C9" s="12">
        <f>SUM(C2:C8)</f>
        <v/>
      </c>
      <c r="D9" s="12">
        <f>SUM(D2:D8)</f>
        <v/>
      </c>
      <c r="E9" s="14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46206</v>
      </c>
      <c r="B5" s="9" t="n">
        <v>4766</v>
      </c>
      <c r="C5" s="9" t="inlineStr">
        <is>
          <t>ALTECO Carport Model Taurus 280кВт</t>
        </is>
      </c>
      <c r="D5" s="9" t="inlineStr">
        <is>
          <t>Другий платіж</t>
        </is>
      </c>
      <c r="E5" s="11" t="n">
        <v>100000</v>
      </c>
      <c r="F5" s="11" t="n">
        <v>0</v>
      </c>
      <c r="G5" s="11">
        <f>E5-F5</f>
        <v/>
      </c>
    </row>
    <row r="6">
      <c r="A6" s="8" t="n">
        <v>46209</v>
      </c>
      <c r="B6" s="9" t="n">
        <v>8188</v>
      </c>
      <c r="C6" s="9" t="inlineStr">
        <is>
          <t>Фундамент Ужгород Стефанія</t>
        </is>
      </c>
      <c r="D6" s="9" t="inlineStr">
        <is>
          <t>Другий платіж</t>
        </is>
      </c>
      <c r="E6" s="11" t="n">
        <v>73926</v>
      </c>
      <c r="F6" s="11" t="n">
        <v>0</v>
      </c>
      <c r="G6" s="11">
        <f>E6-F6</f>
        <v/>
      </c>
    </row>
    <row r="7">
      <c r="A7" s="8" t="n">
        <v>46209</v>
      </c>
      <c r="B7" s="9" t="n">
        <v>8185</v>
      </c>
      <c r="C7" s="9" t="inlineStr">
        <is>
          <t>Фундамент Hytte House Development Славське</t>
        </is>
      </c>
      <c r="D7" s="9" t="inlineStr">
        <is>
          <t>Другий платіж</t>
        </is>
      </c>
      <c r="E7" s="11" t="n">
        <v>63313.4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2">
        <f>SUM(E2:E7)</f>
        <v/>
      </c>
      <c r="F8" s="12">
        <f>SUM(F2:F7)</f>
        <v/>
      </c>
      <c r="G8" s="12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2026-07-07T04:54:38Z</dcterms:created>
  <dcterms:modified xmlns:dcterms="http://purl.org/dc/terms/" xmlns:xsi="http://www.w3.org/2001/XMLSchema-instance" xsi:type="dcterms:W3CDTF">2026-07-07T04:54:38Z</dcterms:modified>
</cp:coreProperties>
</file>