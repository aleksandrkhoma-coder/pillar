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Зведення" sheetId="1" state="visible" r:id="rId3"/>
    <sheet name="Графік надходжень" sheetId="2" state="visible" r:id="rId4"/>
    <sheet name="По місяцях" sheetId="3" state="visible" r:id="rId5"/>
    <sheet name="Прострочені" sheetId="4" state="visible" r:id="rId6"/>
  </sheets>
  <definedNames>
    <definedName function="false" hidden="true" localSheetId="1" name="_xlnm._FilterDatabase" vbProcedure="false">'Графік надходжень'!$A$1:$I$62</definedName>
    <definedName function="false" hidden="true" localSheetId="3" name="_xlnm._FilterDatabase" vbProcedure="false">Прострочені!$A$1:$G$5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<sst xmlns="http://schemas.openxmlformats.org/spreadsheetml/2006/main" count="352" uniqueCount="73">
  <si>
    <t xml:space="preserve">Грошовий потік — звіт Pillar</t>
  </si>
  <si>
    <t xml:space="preserve">Дані: 25.06.2026 · без проєктів на паузі/втрачених</t>
  </si>
  <si>
    <t xml:space="preserve">План усього, ₴</t>
  </si>
  <si>
    <t xml:space="preserve">Отримано (факт), ₴</t>
  </si>
  <si>
    <t xml:space="preserve">Очікується, ₴</t>
  </si>
  <si>
    <t xml:space="preserve">Отримано, %</t>
  </si>
  <si>
    <t xml:space="preserve">Прострочені надходження, ₴</t>
  </si>
  <si>
    <t xml:space="preserve">К-сть платежів</t>
  </si>
  <si>
    <t xml:space="preserve">Планова дата</t>
  </si>
  <si>
    <t xml:space="preserve">№ проєкту</t>
  </si>
  <si>
    <t xml:space="preserve">Проєкт</t>
  </si>
  <si>
    <t xml:space="preserve">ПМ</t>
  </si>
  <si>
    <t xml:space="preserve">Платіж</t>
  </si>
  <si>
    <t xml:space="preserve">План, ₴</t>
  </si>
  <si>
    <t xml:space="preserve">Факт, ₴</t>
  </si>
  <si>
    <t xml:space="preserve">Різниця, ₴</t>
  </si>
  <si>
    <t xml:space="preserve">Статус</t>
  </si>
  <si>
    <t xml:space="preserve">YM</t>
  </si>
  <si>
    <t xml:space="preserve">А Remtec energy  AGM  160 TP</t>
  </si>
  <si>
    <t xml:space="preserve">Александров</t>
  </si>
  <si>
    <t xml:space="preserve">Авансовий платіж</t>
  </si>
  <si>
    <t xml:space="preserve">прострочено</t>
  </si>
  <si>
    <t xml:space="preserve">2026-04</t>
  </si>
  <si>
    <t xml:space="preserve">А Карпорты B2C  SCP</t>
  </si>
  <si>
    <t xml:space="preserve">Іщук</t>
  </si>
  <si>
    <t xml:space="preserve">отримано</t>
  </si>
  <si>
    <t xml:space="preserve">А Ранчо “Едельвейс”  AGM  171PV</t>
  </si>
  <si>
    <t xml:space="preserve">В Модулекс модульна будівля Чернігів</t>
  </si>
  <si>
    <t xml:space="preserve">Заянчковський</t>
  </si>
  <si>
    <t xml:space="preserve">В Газинвестпроект фундамент Киев</t>
  </si>
  <si>
    <t xml:space="preserve">Другий платіж</t>
  </si>
  <si>
    <t xml:space="preserve">А Підселання фундаменту</t>
  </si>
  <si>
    <t xml:space="preserve">Донська</t>
  </si>
  <si>
    <t xml:space="preserve">2026-05</t>
  </si>
  <si>
    <t xml:space="preserve">Третій платіж</t>
  </si>
  <si>
    <t xml:space="preserve">Хаджет Лебедівка</t>
  </si>
  <si>
    <t xml:space="preserve">Модулі Григорівка</t>
  </si>
  <si>
    <t xml:space="preserve">Carport Airport Munich</t>
  </si>
  <si>
    <t xml:space="preserve">SCP Taurus 236PS</t>
  </si>
  <si>
    <t xml:space="preserve">А Фора  SCP W 24PS V1</t>
  </si>
  <si>
    <t xml:space="preserve">Четвертий платіж</t>
  </si>
  <si>
    <t xml:space="preserve">GS</t>
  </si>
  <si>
    <t xml:space="preserve">А UTEM SOLAR  SCP Taurus 190PV</t>
  </si>
  <si>
    <t xml:space="preserve">П'ятий платіж</t>
  </si>
  <si>
    <t xml:space="preserve">8602 Євген Весільна тераса Подорожнє</t>
  </si>
  <si>
    <t xml:space="preserve">2</t>
  </si>
  <si>
    <t xml:space="preserve">Сірокко Sirocco вітрова ел ст Львів</t>
  </si>
  <si>
    <t xml:space="preserve">Олександр каркасний Верховина</t>
  </si>
  <si>
    <t xml:space="preserve">Фундамент Ужгород Стефанія</t>
  </si>
  <si>
    <t xml:space="preserve">Isolar фланець Хмельницький</t>
  </si>
  <si>
    <t xml:space="preserve">А Сцена Корчин</t>
  </si>
  <si>
    <t xml:space="preserve">2026-06</t>
  </si>
  <si>
    <t xml:space="preserve">Фундамент Hytte House Development Славське</t>
  </si>
  <si>
    <t xml:space="preserve">А Фора  SCP  32PS</t>
  </si>
  <si>
    <t xml:space="preserve">А Головне управління Національної поліції в Одеській області  SCP  15PS</t>
  </si>
  <si>
    <t xml:space="preserve">Максим Яловий Чинадієво</t>
  </si>
  <si>
    <t xml:space="preserve">Solars ГШ 1,7+надставки 3,5</t>
  </si>
  <si>
    <t xml:space="preserve">очікується</t>
  </si>
  <si>
    <t xml:space="preserve">А   AGM 2V</t>
  </si>
  <si>
    <t xml:space="preserve">ALTECO Carport Model Taurus 280кВт</t>
  </si>
  <si>
    <t xml:space="preserve">2026-07</t>
  </si>
  <si>
    <t xml:space="preserve">2026-08</t>
  </si>
  <si>
    <t xml:space="preserve">2026-09</t>
  </si>
  <si>
    <t xml:space="preserve">Разом</t>
  </si>
  <si>
    <t xml:space="preserve">Місяць</t>
  </si>
  <si>
    <t xml:space="preserve">% отримано</t>
  </si>
  <si>
    <t xml:space="preserve">кві 2026</t>
  </si>
  <si>
    <t xml:space="preserve">тра 2026</t>
  </si>
  <si>
    <t xml:space="preserve">чер 2026</t>
  </si>
  <si>
    <t xml:space="preserve">лип 2026</t>
  </si>
  <si>
    <t xml:space="preserve">сер 2026</t>
  </si>
  <si>
    <t xml:space="preserve">вер 2026</t>
  </si>
  <si>
    <t xml:space="preserve">Борг, ₴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</si>
</sst>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₴&quot;;\(#,##0&quot;) ₴&quot;;\-"/>
    <numFmt numFmtId="166" formatCode="0.0%"/>
    <numFmt numFmtId="167" formatCode="0"/>
    <numFmt numFmtId="168" formatCode="dd\.mm\.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5D1A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2332"/>
        <bgColor rgb="FF333300"/>
      </patternFill>
    </fill>
    <fill>
      <patternFill patternType="solid">
        <fgColor rgb="FFE8ED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A233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D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5D1A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233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f aca="false">SUMIF('Графік надходжень'!J:J,"&lt;&gt;",'Графік надходжень'!F:F)</f>
        <v>83776816.96</v>
      </c>
    </row>
    <row r="5" customFormat="false" ht="15" hidden="false" customHeight="false" outlineLevel="0" collapsed="false">
      <c r="A5" s="3" t="s">
        <v>3</v>
      </c>
      <c r="B5" s="4" t="n">
        <f aca="false">SUMIF('Графік надходжень'!J:J,"&lt;&gt;",'Графік надходжень'!G:G)</f>
        <v>28509018.41</v>
      </c>
    </row>
    <row r="6" customFormat="false" ht="15" hidden="false" customHeight="false" outlineLevel="0" collapsed="false">
      <c r="A6" s="3" t="s">
        <v>4</v>
      </c>
      <c r="B6" s="4" t="n">
        <f aca="false">B4-B5</f>
        <v>55267798.55</v>
      </c>
    </row>
    <row r="7" customFormat="false" ht="15" hidden="false" customHeight="false" outlineLevel="0" collapsed="false">
      <c r="A7" s="3" t="s">
        <v>5</v>
      </c>
      <c r="B7" s="5" t="n">
        <f aca="false">IF(B4=0,0,B5/B4)</f>
        <v>0.340297225945119</v>
      </c>
    </row>
    <row r="8" customFormat="false" ht="15" hidden="false" customHeight="false" outlineLevel="0" collapsed="false">
      <c r="A8" s="3" t="s">
        <v>6</v>
      </c>
      <c r="B8" s="4" t="n">
        <f aca="false">SUMIF(Прострочені!A:A,"&lt;&gt;",Прострочені!G:G)</f>
        <v>12322066.7</v>
      </c>
    </row>
    <row r="9" customFormat="false" ht="15" hidden="false" customHeight="false" outlineLevel="0" collapsed="false">
      <c r="A9" s="3" t="s">
        <v>7</v>
      </c>
      <c r="B9" s="6" t="n">
        <f aca="false">COUNTIF('Графік надходжень'!J2:J100000,"&lt;&gt;")</f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8" min="6" style="0" width="15"/>
    <col collapsed="false" customWidth="true" hidden="false" outlineLevel="0" max="9" min="9" style="0" width="13"/>
    <col collapsed="false" customWidth="true" hidden="true" outlineLevel="0" max="10" min="10" style="0" width="9"/>
  </cols>
  <sheetData>
    <row r="1" customFormat="false" ht="35.05" hidden="false" customHeight="false" outlineLevel="0" collapsed="false">
      <c r="A1" s="7" t="s">
        <v>8</v>
      </c>
      <c r="B1" s="7" t="s">
        <v>9</v>
      </c>
      <c r="C1" s="7" t="s">
        <v>10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16</v>
      </c>
      <c r="J1" s="7" t="s">
        <v>17</v>
      </c>
    </row>
    <row r="2" customFormat="false" ht="15" hidden="false" customHeight="false" outlineLevel="0" collapsed="false">
      <c r="A2" s="8" t="n">
        <v>46113</v>
      </c>
      <c r="B2" s="9" t="n">
        <v>7068</v>
      </c>
      <c r="C2" s="9" t="s">
        <v>18</v>
      </c>
      <c r="D2" s="9" t="s">
        <v>19</v>
      </c>
      <c r="E2" s="9" t="s">
        <v>20</v>
      </c>
      <c r="F2" s="10" t="n">
        <v>5640128</v>
      </c>
      <c r="G2" s="10" t="n">
        <v>1692038</v>
      </c>
      <c r="H2" s="11" t="n">
        <f aca="false">F2-G2</f>
        <v>3948090</v>
      </c>
      <c r="I2" s="9" t="s">
        <v>21</v>
      </c>
      <c r="J2" s="0" t="s">
        <v>22</v>
      </c>
    </row>
    <row r="3" customFormat="false" ht="15" hidden="false" customHeight="false" outlineLevel="0" collapsed="false">
      <c r="A3" s="8" t="n">
        <v>46128</v>
      </c>
      <c r="B3" s="9" t="n">
        <v>8070</v>
      </c>
      <c r="C3" s="9" t="s">
        <v>23</v>
      </c>
      <c r="D3" s="9" t="s">
        <v>24</v>
      </c>
      <c r="E3" s="9" t="s">
        <v>20</v>
      </c>
      <c r="F3" s="10" t="n">
        <v>126641</v>
      </c>
      <c r="G3" s="10" t="n">
        <v>126641</v>
      </c>
      <c r="H3" s="11" t="n">
        <f aca="false">F3-G3</f>
        <v>0</v>
      </c>
      <c r="I3" s="9" t="s">
        <v>25</v>
      </c>
      <c r="J3" s="0" t="s">
        <v>22</v>
      </c>
    </row>
    <row r="4" customFormat="false" ht="15" hidden="false" customHeight="false" outlineLevel="0" collapsed="false">
      <c r="A4" s="8" t="n">
        <v>46129</v>
      </c>
      <c r="B4" s="9" t="n">
        <v>7536</v>
      </c>
      <c r="C4" s="9" t="s">
        <v>26</v>
      </c>
      <c r="D4" s="9" t="s">
        <v>24</v>
      </c>
      <c r="E4" s="9" t="s">
        <v>20</v>
      </c>
      <c r="F4" s="10" t="n">
        <v>244374</v>
      </c>
      <c r="G4" s="10" t="n">
        <v>244374</v>
      </c>
      <c r="H4" s="11" t="n">
        <f aca="false">F4-G4</f>
        <v>0</v>
      </c>
      <c r="I4" s="9" t="s">
        <v>25</v>
      </c>
      <c r="J4" s="0" t="s">
        <v>22</v>
      </c>
    </row>
    <row r="5" customFormat="false" ht="15" hidden="false" customHeight="false" outlineLevel="0" collapsed="false">
      <c r="A5" s="8" t="n">
        <v>46133</v>
      </c>
      <c r="B5" s="9" t="n">
        <v>7244</v>
      </c>
      <c r="C5" s="9" t="s">
        <v>27</v>
      </c>
      <c r="D5" s="9" t="s">
        <v>28</v>
      </c>
      <c r="E5" s="9" t="s">
        <v>20</v>
      </c>
      <c r="F5" s="10" t="n">
        <v>77600</v>
      </c>
      <c r="G5" s="10" t="n">
        <v>77600</v>
      </c>
      <c r="H5" s="11" t="n">
        <f aca="false">F5-G5</f>
        <v>0</v>
      </c>
      <c r="I5" s="9" t="s">
        <v>25</v>
      </c>
      <c r="J5" s="0" t="s">
        <v>22</v>
      </c>
    </row>
    <row r="6" customFormat="false" ht="15" hidden="false" customHeight="false" outlineLevel="0" collapsed="false">
      <c r="A6" s="8" t="n">
        <v>46134</v>
      </c>
      <c r="B6" s="9" t="n">
        <v>8140</v>
      </c>
      <c r="C6" s="9" t="s">
        <v>29</v>
      </c>
      <c r="D6" s="9" t="s">
        <v>28</v>
      </c>
      <c r="E6" s="9" t="s">
        <v>20</v>
      </c>
      <c r="F6" s="10" t="n">
        <v>150000</v>
      </c>
      <c r="G6" s="10" t="n">
        <v>150000</v>
      </c>
      <c r="H6" s="11" t="n">
        <f aca="false">F6-G6</f>
        <v>0</v>
      </c>
      <c r="I6" s="9" t="s">
        <v>25</v>
      </c>
      <c r="J6" s="0" t="s">
        <v>22</v>
      </c>
    </row>
    <row r="7" customFormat="false" ht="15" hidden="false" customHeight="false" outlineLevel="0" collapsed="false">
      <c r="A7" s="8" t="n">
        <v>46142</v>
      </c>
      <c r="B7" s="9" t="n">
        <v>7536</v>
      </c>
      <c r="C7" s="9" t="s">
        <v>26</v>
      </c>
      <c r="D7" s="9" t="s">
        <v>24</v>
      </c>
      <c r="E7" s="9" t="s">
        <v>30</v>
      </c>
      <c r="F7" s="10" t="n">
        <v>200000</v>
      </c>
      <c r="G7" s="10" t="n">
        <v>200000</v>
      </c>
      <c r="H7" s="11" t="n">
        <f aca="false">F7-G7</f>
        <v>0</v>
      </c>
      <c r="I7" s="9" t="s">
        <v>25</v>
      </c>
      <c r="J7" s="0" t="s">
        <v>22</v>
      </c>
    </row>
    <row r="8" customFormat="false" ht="15" hidden="false" customHeight="false" outlineLevel="0" collapsed="false">
      <c r="A8" s="8" t="n">
        <v>46147</v>
      </c>
      <c r="B8" s="9" t="n">
        <v>3456</v>
      </c>
      <c r="C8" s="9" t="s">
        <v>31</v>
      </c>
      <c r="D8" s="9" t="s">
        <v>32</v>
      </c>
      <c r="E8" s="9" t="s">
        <v>20</v>
      </c>
      <c r="F8" s="10" t="n">
        <v>421968</v>
      </c>
      <c r="G8" s="10" t="n">
        <v>421968</v>
      </c>
      <c r="H8" s="11" t="n">
        <f aca="false">F8-G8</f>
        <v>0</v>
      </c>
      <c r="I8" s="9" t="s">
        <v>25</v>
      </c>
      <c r="J8" s="0" t="s">
        <v>33</v>
      </c>
    </row>
    <row r="9" customFormat="false" ht="15" hidden="false" customHeight="false" outlineLevel="0" collapsed="false">
      <c r="A9" s="8" t="n">
        <v>46154</v>
      </c>
      <c r="B9" s="9" t="n">
        <v>7536</v>
      </c>
      <c r="C9" s="9" t="s">
        <v>26</v>
      </c>
      <c r="D9" s="9" t="s">
        <v>24</v>
      </c>
      <c r="E9" s="9" t="s">
        <v>34</v>
      </c>
      <c r="F9" s="10" t="n">
        <v>200000</v>
      </c>
      <c r="G9" s="10" t="n">
        <v>200000</v>
      </c>
      <c r="H9" s="11" t="n">
        <f aca="false">F9-G9</f>
        <v>0</v>
      </c>
      <c r="I9" s="9" t="s">
        <v>25</v>
      </c>
      <c r="J9" s="0" t="s">
        <v>33</v>
      </c>
    </row>
    <row r="10" customFormat="false" ht="15" hidden="false" customHeight="false" outlineLevel="0" collapsed="false">
      <c r="A10" s="8" t="n">
        <v>46154</v>
      </c>
      <c r="B10" s="9" t="n">
        <v>8360</v>
      </c>
      <c r="C10" s="9" t="s">
        <v>35</v>
      </c>
      <c r="D10" s="9" t="s">
        <v>32</v>
      </c>
      <c r="E10" s="9" t="s">
        <v>20</v>
      </c>
      <c r="F10" s="10" t="n">
        <v>231000</v>
      </c>
      <c r="G10" s="10" t="n">
        <v>231000</v>
      </c>
      <c r="H10" s="11" t="n">
        <f aca="false">F10-G10</f>
        <v>0</v>
      </c>
      <c r="I10" s="9" t="s">
        <v>25</v>
      </c>
      <c r="J10" s="0" t="s">
        <v>33</v>
      </c>
    </row>
    <row r="11" customFormat="false" ht="15" hidden="false" customHeight="false" outlineLevel="0" collapsed="false">
      <c r="A11" s="8" t="n">
        <v>46160</v>
      </c>
      <c r="B11" s="9" t="n">
        <v>8008</v>
      </c>
      <c r="C11" s="9" t="s">
        <v>36</v>
      </c>
      <c r="D11" s="9" t="s">
        <v>32</v>
      </c>
      <c r="E11" s="9" t="s">
        <v>20</v>
      </c>
      <c r="F11" s="10" t="n">
        <v>430850.64</v>
      </c>
      <c r="G11" s="10" t="n">
        <v>430850.64</v>
      </c>
      <c r="H11" s="11" t="n">
        <f aca="false">F11-G11</f>
        <v>0</v>
      </c>
      <c r="I11" s="9" t="s">
        <v>25</v>
      </c>
      <c r="J11" s="0" t="s">
        <v>33</v>
      </c>
    </row>
    <row r="12" customFormat="false" ht="15" hidden="false" customHeight="false" outlineLevel="0" collapsed="false">
      <c r="A12" s="8" t="n">
        <v>46161</v>
      </c>
      <c r="B12" s="9" t="n">
        <v>5870</v>
      </c>
      <c r="C12" s="9" t="s">
        <v>37</v>
      </c>
      <c r="D12" s="9" t="s">
        <v>19</v>
      </c>
      <c r="E12" s="9" t="s">
        <v>20</v>
      </c>
      <c r="F12" s="10" t="n">
        <v>2600000</v>
      </c>
      <c r="G12" s="10" t="n">
        <v>2600000</v>
      </c>
      <c r="H12" s="11" t="n">
        <f aca="false">F12-G12</f>
        <v>0</v>
      </c>
      <c r="I12" s="9" t="s">
        <v>25</v>
      </c>
      <c r="J12" s="0" t="s">
        <v>33</v>
      </c>
    </row>
    <row r="13" customFormat="false" ht="15" hidden="false" customHeight="false" outlineLevel="0" collapsed="false">
      <c r="A13" s="8" t="n">
        <v>46161</v>
      </c>
      <c r="B13" s="9" t="n">
        <v>6704</v>
      </c>
      <c r="C13" s="9" t="s">
        <v>38</v>
      </c>
      <c r="D13" s="9" t="s">
        <v>19</v>
      </c>
      <c r="E13" s="9" t="s">
        <v>20</v>
      </c>
      <c r="F13" s="10" t="n">
        <v>5200000</v>
      </c>
      <c r="G13" s="10" t="n">
        <v>5200000</v>
      </c>
      <c r="H13" s="11" t="n">
        <f aca="false">F13-G13</f>
        <v>0</v>
      </c>
      <c r="I13" s="9" t="s">
        <v>25</v>
      </c>
      <c r="J13" s="0" t="s">
        <v>33</v>
      </c>
    </row>
    <row r="14" customFormat="false" ht="15" hidden="false" customHeight="false" outlineLevel="0" collapsed="false">
      <c r="A14" s="8" t="n">
        <v>46161</v>
      </c>
      <c r="B14" s="9" t="n">
        <v>7002</v>
      </c>
      <c r="C14" s="9" t="s">
        <v>39</v>
      </c>
      <c r="D14" s="9" t="s">
        <v>32</v>
      </c>
      <c r="E14" s="9" t="s">
        <v>20</v>
      </c>
      <c r="F14" s="10" t="n">
        <v>1015173.12</v>
      </c>
      <c r="G14" s="10" t="n">
        <v>1015173.12</v>
      </c>
      <c r="H14" s="11" t="n">
        <f aca="false">F14-G14</f>
        <v>0</v>
      </c>
      <c r="I14" s="9" t="s">
        <v>25</v>
      </c>
      <c r="J14" s="0" t="s">
        <v>33</v>
      </c>
    </row>
    <row r="15" customFormat="false" ht="15" hidden="false" customHeight="false" outlineLevel="0" collapsed="false">
      <c r="A15" s="8" t="n">
        <v>46161</v>
      </c>
      <c r="B15" s="9" t="n">
        <v>7536</v>
      </c>
      <c r="C15" s="9" t="s">
        <v>26</v>
      </c>
      <c r="D15" s="9" t="s">
        <v>24</v>
      </c>
      <c r="E15" s="9" t="s">
        <v>40</v>
      </c>
      <c r="F15" s="10" t="n">
        <v>200000</v>
      </c>
      <c r="G15" s="10" t="n">
        <v>200000</v>
      </c>
      <c r="H15" s="11" t="n">
        <f aca="false">F15-G15</f>
        <v>0</v>
      </c>
      <c r="I15" s="9" t="s">
        <v>25</v>
      </c>
      <c r="J15" s="0" t="s">
        <v>33</v>
      </c>
    </row>
    <row r="16" customFormat="false" ht="15" hidden="false" customHeight="false" outlineLevel="0" collapsed="false">
      <c r="A16" s="8" t="n">
        <v>46161</v>
      </c>
      <c r="B16" s="9" t="n">
        <v>8438</v>
      </c>
      <c r="C16" s="9" t="s">
        <v>41</v>
      </c>
      <c r="D16" s="9" t="s">
        <v>19</v>
      </c>
      <c r="E16" s="9" t="s">
        <v>20</v>
      </c>
      <c r="F16" s="10" t="n">
        <v>758160</v>
      </c>
      <c r="G16" s="10" t="n">
        <v>758160</v>
      </c>
      <c r="H16" s="11" t="n">
        <f aca="false">F16-G16</f>
        <v>0</v>
      </c>
      <c r="I16" s="9" t="s">
        <v>25</v>
      </c>
      <c r="J16" s="0" t="s">
        <v>33</v>
      </c>
    </row>
    <row r="17" customFormat="false" ht="15" hidden="false" customHeight="false" outlineLevel="0" collapsed="false">
      <c r="A17" s="8" t="n">
        <v>46162</v>
      </c>
      <c r="B17" s="9" t="n">
        <v>8238</v>
      </c>
      <c r="C17" s="9" t="s">
        <v>42</v>
      </c>
      <c r="D17" s="9" t="s">
        <v>24</v>
      </c>
      <c r="E17" s="9" t="s">
        <v>20</v>
      </c>
      <c r="F17" s="10" t="n">
        <v>2011000</v>
      </c>
      <c r="G17" s="10" t="n">
        <v>2011000</v>
      </c>
      <c r="H17" s="11" t="n">
        <f aca="false">F17-G17</f>
        <v>0</v>
      </c>
      <c r="I17" s="9" t="s">
        <v>25</v>
      </c>
      <c r="J17" s="0" t="s">
        <v>33</v>
      </c>
    </row>
    <row r="18" customFormat="false" ht="15" hidden="false" customHeight="false" outlineLevel="0" collapsed="false">
      <c r="A18" s="8" t="n">
        <v>46164</v>
      </c>
      <c r="B18" s="9" t="n">
        <v>7536</v>
      </c>
      <c r="C18" s="9" t="s">
        <v>26</v>
      </c>
      <c r="D18" s="9" t="s">
        <v>24</v>
      </c>
      <c r="E18" s="9" t="s">
        <v>43</v>
      </c>
      <c r="F18" s="10" t="n">
        <v>67972.8</v>
      </c>
      <c r="G18" s="10" t="n">
        <v>67972.8</v>
      </c>
      <c r="H18" s="11" t="n">
        <f aca="false">F18-G18</f>
        <v>0</v>
      </c>
      <c r="I18" s="9" t="s">
        <v>25</v>
      </c>
      <c r="J18" s="0" t="s">
        <v>33</v>
      </c>
    </row>
    <row r="19" customFormat="false" ht="15" hidden="false" customHeight="false" outlineLevel="0" collapsed="false">
      <c r="A19" s="8" t="n">
        <v>46167</v>
      </c>
      <c r="B19" s="9" t="n">
        <v>7508</v>
      </c>
      <c r="C19" s="9" t="s">
        <v>44</v>
      </c>
      <c r="D19" s="9" t="s">
        <v>28</v>
      </c>
      <c r="E19" s="9" t="s">
        <v>20</v>
      </c>
      <c r="F19" s="10" t="n">
        <v>1245999.94</v>
      </c>
      <c r="G19" s="10" t="n">
        <v>1245999.94</v>
      </c>
      <c r="H19" s="11" t="n">
        <f aca="false">F19-G19</f>
        <v>0</v>
      </c>
      <c r="I19" s="9" t="s">
        <v>25</v>
      </c>
      <c r="J19" s="0" t="s">
        <v>33</v>
      </c>
    </row>
    <row r="20" customFormat="false" ht="15" hidden="false" customHeight="false" outlineLevel="0" collapsed="false">
      <c r="A20" s="8" t="n">
        <v>46168</v>
      </c>
      <c r="B20" s="9" t="n">
        <v>7508</v>
      </c>
      <c r="C20" s="9" t="s">
        <v>44</v>
      </c>
      <c r="D20" s="9" t="s">
        <v>28</v>
      </c>
      <c r="E20" s="9" t="s">
        <v>30</v>
      </c>
      <c r="F20" s="10" t="n">
        <v>751000.06</v>
      </c>
      <c r="G20" s="10" t="n">
        <v>751000.06</v>
      </c>
      <c r="H20" s="11" t="n">
        <f aca="false">F20-G20</f>
        <v>0</v>
      </c>
      <c r="I20" s="9" t="s">
        <v>25</v>
      </c>
      <c r="J20" s="0" t="s">
        <v>33</v>
      </c>
    </row>
    <row r="21" customFormat="false" ht="15" hidden="false" customHeight="false" outlineLevel="0" collapsed="false">
      <c r="A21" s="8" t="n">
        <v>46169</v>
      </c>
      <c r="B21" s="9" t="n">
        <v>6842</v>
      </c>
      <c r="C21" s="9" t="s">
        <v>45</v>
      </c>
      <c r="D21" s="9" t="s">
        <v>19</v>
      </c>
      <c r="E21" s="9" t="s">
        <v>20</v>
      </c>
      <c r="F21" s="10" t="n">
        <v>3308968</v>
      </c>
      <c r="G21" s="10" t="n">
        <v>3308968</v>
      </c>
      <c r="H21" s="11" t="n">
        <f aca="false">F21-G21</f>
        <v>0</v>
      </c>
      <c r="I21" s="9" t="s">
        <v>25</v>
      </c>
      <c r="J21" s="0" t="s">
        <v>33</v>
      </c>
    </row>
    <row r="22" customFormat="false" ht="15" hidden="false" customHeight="false" outlineLevel="0" collapsed="false">
      <c r="A22" s="8" t="n">
        <v>46169</v>
      </c>
      <c r="B22" s="9" t="n">
        <v>7960</v>
      </c>
      <c r="C22" s="9" t="s">
        <v>46</v>
      </c>
      <c r="D22" s="9" t="s">
        <v>24</v>
      </c>
      <c r="E22" s="9" t="s">
        <v>20</v>
      </c>
      <c r="F22" s="10" t="n">
        <v>99610.8</v>
      </c>
      <c r="G22" s="10" t="n">
        <v>99610.8</v>
      </c>
      <c r="H22" s="11" t="n">
        <f aca="false">F22-G22</f>
        <v>0</v>
      </c>
      <c r="I22" s="9" t="s">
        <v>25</v>
      </c>
      <c r="J22" s="0" t="s">
        <v>33</v>
      </c>
    </row>
    <row r="23" customFormat="false" ht="15" hidden="false" customHeight="false" outlineLevel="0" collapsed="false">
      <c r="A23" s="8" t="n">
        <v>46169</v>
      </c>
      <c r="B23" s="9" t="n">
        <v>8454</v>
      </c>
      <c r="C23" s="9" t="s">
        <v>47</v>
      </c>
      <c r="D23" s="9" t="s">
        <v>32</v>
      </c>
      <c r="E23" s="9" t="s">
        <v>20</v>
      </c>
      <c r="F23" s="10" t="n">
        <v>103606.2</v>
      </c>
      <c r="G23" s="10" t="n">
        <v>103606.2</v>
      </c>
      <c r="H23" s="11" t="n">
        <f aca="false">F23-G23</f>
        <v>0</v>
      </c>
      <c r="I23" s="9" t="s">
        <v>25</v>
      </c>
      <c r="J23" s="0" t="s">
        <v>33</v>
      </c>
    </row>
    <row r="24" customFormat="false" ht="15" hidden="false" customHeight="false" outlineLevel="0" collapsed="false">
      <c r="A24" s="8" t="n">
        <v>46170</v>
      </c>
      <c r="B24" s="9" t="n">
        <v>8188</v>
      </c>
      <c r="C24" s="9" t="s">
        <v>48</v>
      </c>
      <c r="D24" s="9" t="s">
        <v>19</v>
      </c>
      <c r="E24" s="9" t="s">
        <v>20</v>
      </c>
      <c r="F24" s="10" t="n">
        <v>206200</v>
      </c>
      <c r="G24" s="10" t="n">
        <v>206200</v>
      </c>
      <c r="H24" s="11" t="n">
        <f aca="false">F24-G24</f>
        <v>0</v>
      </c>
      <c r="I24" s="9" t="s">
        <v>25</v>
      </c>
      <c r="J24" s="0" t="s">
        <v>33</v>
      </c>
    </row>
    <row r="25" customFormat="false" ht="15" hidden="false" customHeight="false" outlineLevel="0" collapsed="false">
      <c r="A25" s="8" t="n">
        <v>46170</v>
      </c>
      <c r="B25" s="9" t="n">
        <v>8454</v>
      </c>
      <c r="C25" s="9" t="s">
        <v>47</v>
      </c>
      <c r="D25" s="9" t="s">
        <v>32</v>
      </c>
      <c r="E25" s="9" t="s">
        <v>30</v>
      </c>
      <c r="F25" s="10" t="n">
        <v>69666</v>
      </c>
      <c r="G25" s="10" t="n">
        <v>69666</v>
      </c>
      <c r="H25" s="11" t="n">
        <f aca="false">F25-G25</f>
        <v>0</v>
      </c>
      <c r="I25" s="9" t="s">
        <v>25</v>
      </c>
      <c r="J25" s="0" t="s">
        <v>33</v>
      </c>
    </row>
    <row r="26" customFormat="false" ht="15" hidden="false" customHeight="false" outlineLevel="0" collapsed="false">
      <c r="A26" s="8" t="n">
        <v>46170</v>
      </c>
      <c r="B26" s="9" t="n">
        <v>8544</v>
      </c>
      <c r="C26" s="9" t="s">
        <v>49</v>
      </c>
      <c r="D26" s="9" t="s">
        <v>32</v>
      </c>
      <c r="E26" s="9" t="s">
        <v>20</v>
      </c>
      <c r="F26" s="10" t="n">
        <v>261990</v>
      </c>
      <c r="G26" s="10" t="n">
        <v>261990</v>
      </c>
      <c r="H26" s="11" t="n">
        <f aca="false">F26-G26</f>
        <v>0</v>
      </c>
      <c r="I26" s="9" t="s">
        <v>25</v>
      </c>
      <c r="J26" s="0" t="s">
        <v>33</v>
      </c>
    </row>
    <row r="27" customFormat="false" ht="15" hidden="false" customHeight="false" outlineLevel="0" collapsed="false">
      <c r="A27" s="8" t="n">
        <v>46175</v>
      </c>
      <c r="B27" s="9" t="n">
        <v>5682</v>
      </c>
      <c r="C27" s="9" t="s">
        <v>50</v>
      </c>
      <c r="D27" s="9" t="s">
        <v>24</v>
      </c>
      <c r="E27" s="9" t="s">
        <v>20</v>
      </c>
      <c r="F27" s="10" t="n">
        <v>87150</v>
      </c>
      <c r="G27" s="10" t="n">
        <v>87150</v>
      </c>
      <c r="H27" s="11" t="n">
        <f aca="false">F27-G27</f>
        <v>0</v>
      </c>
      <c r="I27" s="9" t="s">
        <v>25</v>
      </c>
      <c r="J27" s="0" t="s">
        <v>51</v>
      </c>
    </row>
    <row r="28" customFormat="false" ht="15" hidden="false" customHeight="false" outlineLevel="0" collapsed="false">
      <c r="A28" s="8" t="n">
        <v>46175</v>
      </c>
      <c r="B28" s="9" t="n">
        <v>8185</v>
      </c>
      <c r="C28" s="9" t="s">
        <v>52</v>
      </c>
      <c r="D28" s="9" t="s">
        <v>32</v>
      </c>
      <c r="E28" s="9" t="s">
        <v>20</v>
      </c>
      <c r="F28" s="10" t="n">
        <v>168024</v>
      </c>
      <c r="G28" s="10" t="n">
        <v>168024</v>
      </c>
      <c r="H28" s="11" t="n">
        <f aca="false">F28-G28</f>
        <v>0</v>
      </c>
      <c r="I28" s="9" t="s">
        <v>25</v>
      </c>
      <c r="J28" s="0" t="s">
        <v>51</v>
      </c>
    </row>
    <row r="29" customFormat="false" ht="15" hidden="false" customHeight="false" outlineLevel="0" collapsed="false">
      <c r="A29" s="8" t="n">
        <v>46177</v>
      </c>
      <c r="B29" s="9" t="n">
        <v>7894</v>
      </c>
      <c r="C29" s="9" t="s">
        <v>53</v>
      </c>
      <c r="D29" s="9" t="s">
        <v>32</v>
      </c>
      <c r="E29" s="9" t="s">
        <v>20</v>
      </c>
      <c r="F29" s="10" t="n">
        <v>1487743.97</v>
      </c>
      <c r="G29" s="10" t="n">
        <v>1487743.97</v>
      </c>
      <c r="H29" s="11" t="n">
        <f aca="false">F29-G29</f>
        <v>0</v>
      </c>
      <c r="I29" s="9" t="s">
        <v>25</v>
      </c>
      <c r="J29" s="0" t="s">
        <v>51</v>
      </c>
    </row>
    <row r="30" customFormat="false" ht="15" hidden="false" customHeight="false" outlineLevel="0" collapsed="false">
      <c r="A30" s="8" t="n">
        <v>46182</v>
      </c>
      <c r="B30" s="9" t="n">
        <v>8544</v>
      </c>
      <c r="C30" s="9" t="s">
        <v>49</v>
      </c>
      <c r="D30" s="9" t="s">
        <v>32</v>
      </c>
      <c r="E30" s="9" t="s">
        <v>30</v>
      </c>
      <c r="F30" s="10" t="n">
        <v>7990.8</v>
      </c>
      <c r="G30" s="10" t="n">
        <v>7990.8</v>
      </c>
      <c r="H30" s="11" t="n">
        <f aca="false">F30-G30</f>
        <v>0</v>
      </c>
      <c r="I30" s="9" t="s">
        <v>25</v>
      </c>
      <c r="J30" s="0" t="s">
        <v>51</v>
      </c>
    </row>
    <row r="31" customFormat="false" ht="15" hidden="false" customHeight="false" outlineLevel="0" collapsed="false">
      <c r="A31" s="8" t="n">
        <v>46183</v>
      </c>
      <c r="B31" s="9" t="n">
        <v>8140</v>
      </c>
      <c r="C31" s="9" t="s">
        <v>29</v>
      </c>
      <c r="D31" s="9" t="s">
        <v>28</v>
      </c>
      <c r="E31" s="9" t="s">
        <v>30</v>
      </c>
      <c r="F31" s="10" t="n">
        <v>86041.2</v>
      </c>
      <c r="G31" s="10" t="n">
        <v>86041.2</v>
      </c>
      <c r="H31" s="11" t="n">
        <f aca="false">F31-G31</f>
        <v>0</v>
      </c>
      <c r="I31" s="9" t="s">
        <v>25</v>
      </c>
      <c r="J31" s="0" t="s">
        <v>51</v>
      </c>
    </row>
    <row r="32" customFormat="false" ht="15" hidden="false" customHeight="false" outlineLevel="0" collapsed="false">
      <c r="A32" s="8" t="n">
        <v>46184</v>
      </c>
      <c r="B32" s="9" t="n">
        <v>3456</v>
      </c>
      <c r="C32" s="9" t="s">
        <v>31</v>
      </c>
      <c r="D32" s="9" t="s">
        <v>32</v>
      </c>
      <c r="E32" s="9" t="s">
        <v>30</v>
      </c>
      <c r="F32" s="10" t="n">
        <v>783940.92</v>
      </c>
      <c r="G32" s="10" t="n">
        <v>783940.92</v>
      </c>
      <c r="H32" s="11" t="n">
        <f aca="false">F32-G32</f>
        <v>0</v>
      </c>
      <c r="I32" s="9" t="s">
        <v>25</v>
      </c>
      <c r="J32" s="0" t="s">
        <v>51</v>
      </c>
    </row>
    <row r="33" customFormat="false" ht="15" hidden="false" customHeight="false" outlineLevel="0" collapsed="false">
      <c r="A33" s="8" t="n">
        <v>46184</v>
      </c>
      <c r="B33" s="9" t="n">
        <v>8360</v>
      </c>
      <c r="C33" s="9" t="s">
        <v>35</v>
      </c>
      <c r="D33" s="9" t="s">
        <v>32</v>
      </c>
      <c r="E33" s="9" t="s">
        <v>30</v>
      </c>
      <c r="F33" s="10" t="n">
        <v>95968.3</v>
      </c>
      <c r="G33" s="10" t="n">
        <v>96000</v>
      </c>
      <c r="H33" s="11" t="n">
        <f aca="false">F33-G33</f>
        <v>-31.6999999999971</v>
      </c>
      <c r="I33" s="9" t="s">
        <v>25</v>
      </c>
      <c r="J33" s="0" t="s">
        <v>51</v>
      </c>
    </row>
    <row r="34" customFormat="false" ht="15" hidden="false" customHeight="false" outlineLevel="0" collapsed="false">
      <c r="A34" s="8" t="n">
        <v>46185</v>
      </c>
      <c r="B34" s="9" t="n">
        <v>7474</v>
      </c>
      <c r="C34" s="9" t="s">
        <v>54</v>
      </c>
      <c r="D34" s="9" t="s">
        <v>24</v>
      </c>
      <c r="E34" s="9" t="s">
        <v>43</v>
      </c>
      <c r="F34" s="10" t="n">
        <v>1749999</v>
      </c>
      <c r="G34" s="10" t="n">
        <v>1749999</v>
      </c>
      <c r="H34" s="11" t="n">
        <f aca="false">F34-G34</f>
        <v>0</v>
      </c>
      <c r="I34" s="9" t="s">
        <v>25</v>
      </c>
      <c r="J34" s="0" t="s">
        <v>51</v>
      </c>
    </row>
    <row r="35" customFormat="false" ht="15" hidden="false" customHeight="false" outlineLevel="0" collapsed="false">
      <c r="A35" s="8" t="n">
        <v>46188</v>
      </c>
      <c r="B35" s="9" t="n">
        <v>6406</v>
      </c>
      <c r="C35" s="9" t="s">
        <v>55</v>
      </c>
      <c r="D35" s="9" t="s">
        <v>19</v>
      </c>
      <c r="E35" s="9" t="s">
        <v>20</v>
      </c>
      <c r="F35" s="10" t="n">
        <v>154980</v>
      </c>
      <c r="G35" s="10" t="n">
        <v>154980</v>
      </c>
      <c r="H35" s="11" t="n">
        <f aca="false">F35-G35</f>
        <v>0</v>
      </c>
      <c r="I35" s="9" t="s">
        <v>25</v>
      </c>
      <c r="J35" s="0" t="s">
        <v>51</v>
      </c>
    </row>
    <row r="36" customFormat="false" ht="15" hidden="false" customHeight="false" outlineLevel="0" collapsed="false">
      <c r="A36" s="8" t="n">
        <v>46189</v>
      </c>
      <c r="B36" s="9" t="n">
        <v>5870</v>
      </c>
      <c r="C36" s="9" t="s">
        <v>37</v>
      </c>
      <c r="D36" s="9" t="s">
        <v>19</v>
      </c>
      <c r="E36" s="9" t="s">
        <v>30</v>
      </c>
      <c r="F36" s="10" t="n">
        <v>7800000</v>
      </c>
      <c r="G36" s="10" t="n">
        <v>0</v>
      </c>
      <c r="H36" s="11" t="n">
        <f aca="false">F36-G36</f>
        <v>7800000</v>
      </c>
      <c r="I36" s="9" t="s">
        <v>21</v>
      </c>
      <c r="J36" s="0" t="s">
        <v>51</v>
      </c>
    </row>
    <row r="37" customFormat="false" ht="15" hidden="false" customHeight="false" outlineLevel="0" collapsed="false">
      <c r="A37" s="8" t="n">
        <v>46189</v>
      </c>
      <c r="B37" s="9" t="n">
        <v>7002</v>
      </c>
      <c r="C37" s="9" t="s">
        <v>39</v>
      </c>
      <c r="D37" s="9" t="s">
        <v>32</v>
      </c>
      <c r="E37" s="9" t="s">
        <v>40</v>
      </c>
      <c r="F37" s="10" t="n">
        <v>573945</v>
      </c>
      <c r="G37" s="10" t="n">
        <v>0</v>
      </c>
      <c r="H37" s="11" t="n">
        <f aca="false">F37-G37</f>
        <v>573945</v>
      </c>
      <c r="I37" s="9" t="s">
        <v>21</v>
      </c>
      <c r="J37" s="0" t="s">
        <v>51</v>
      </c>
    </row>
    <row r="38" customFormat="false" ht="15" hidden="false" customHeight="false" outlineLevel="0" collapsed="false">
      <c r="A38" s="8" t="n">
        <v>46195</v>
      </c>
      <c r="B38" s="9" t="n">
        <v>8644</v>
      </c>
      <c r="C38" s="9" t="s">
        <v>56</v>
      </c>
      <c r="D38" s="9" t="s">
        <v>19</v>
      </c>
      <c r="E38" s="9" t="s">
        <v>20</v>
      </c>
      <c r="F38" s="10" t="n">
        <v>415900</v>
      </c>
      <c r="G38" s="10" t="n">
        <v>415900</v>
      </c>
      <c r="H38" s="11" t="n">
        <f aca="false">F38-G38</f>
        <v>0</v>
      </c>
      <c r="I38" s="9" t="s">
        <v>25</v>
      </c>
      <c r="J38" s="0" t="s">
        <v>51</v>
      </c>
    </row>
    <row r="39" customFormat="false" ht="15" hidden="false" customHeight="false" outlineLevel="0" collapsed="false">
      <c r="A39" s="8" t="n">
        <v>46196</v>
      </c>
      <c r="B39" s="9" t="n">
        <v>5682</v>
      </c>
      <c r="C39" s="9" t="s">
        <v>50</v>
      </c>
      <c r="D39" s="9" t="s">
        <v>24</v>
      </c>
      <c r="E39" s="9" t="s">
        <v>30</v>
      </c>
      <c r="F39" s="10" t="n">
        <v>369984.96</v>
      </c>
      <c r="G39" s="10" t="n">
        <v>369984.96</v>
      </c>
      <c r="H39" s="11" t="n">
        <f aca="false">F39-G39</f>
        <v>0</v>
      </c>
      <c r="I39" s="9" t="s">
        <v>25</v>
      </c>
      <c r="J39" s="0" t="s">
        <v>51</v>
      </c>
    </row>
    <row r="40" customFormat="false" ht="15" hidden="false" customHeight="false" outlineLevel="0" collapsed="false">
      <c r="A40" s="8" t="n">
        <v>46197</v>
      </c>
      <c r="B40" s="9" t="n">
        <v>7068</v>
      </c>
      <c r="C40" s="9" t="s">
        <v>18</v>
      </c>
      <c r="D40" s="9" t="s">
        <v>19</v>
      </c>
      <c r="E40" s="9" t="s">
        <v>30</v>
      </c>
      <c r="F40" s="10" t="n">
        <v>0</v>
      </c>
      <c r="G40" s="10" t="n">
        <v>1153420</v>
      </c>
      <c r="H40" s="11" t="n">
        <f aca="false">F40-G40</f>
        <v>-1153420</v>
      </c>
      <c r="I40" s="9" t="s">
        <v>57</v>
      </c>
      <c r="J40" s="0" t="s">
        <v>51</v>
      </c>
    </row>
    <row r="41" customFormat="false" ht="15" hidden="false" customHeight="false" outlineLevel="0" collapsed="false">
      <c r="A41" s="8" t="n">
        <v>46197</v>
      </c>
      <c r="B41" s="9" t="n">
        <v>8360</v>
      </c>
      <c r="C41" s="9" t="s">
        <v>35</v>
      </c>
      <c r="D41" s="9" t="s">
        <v>32</v>
      </c>
      <c r="E41" s="9" t="s">
        <v>34</v>
      </c>
      <c r="F41" s="10" t="n">
        <v>95968.3</v>
      </c>
      <c r="G41" s="10" t="n">
        <v>95936.6</v>
      </c>
      <c r="H41" s="11" t="n">
        <f aca="false">F41-G41</f>
        <v>31.6999999999971</v>
      </c>
      <c r="I41" s="9" t="s">
        <v>21</v>
      </c>
      <c r="J41" s="0" t="s">
        <v>51</v>
      </c>
    </row>
    <row r="42" customFormat="false" ht="15" hidden="false" customHeight="false" outlineLevel="0" collapsed="false">
      <c r="A42" s="8" t="n">
        <v>46202</v>
      </c>
      <c r="B42" s="9" t="n">
        <v>6704</v>
      </c>
      <c r="C42" s="9" t="s">
        <v>38</v>
      </c>
      <c r="D42" s="9" t="s">
        <v>19</v>
      </c>
      <c r="E42" s="9" t="s">
        <v>30</v>
      </c>
      <c r="F42" s="10" t="n">
        <v>6396000</v>
      </c>
      <c r="G42" s="10" t="n">
        <v>0</v>
      </c>
      <c r="H42" s="11" t="n">
        <f aca="false">F42-G42</f>
        <v>6396000</v>
      </c>
      <c r="I42" s="9" t="s">
        <v>57</v>
      </c>
      <c r="J42" s="0" t="s">
        <v>51</v>
      </c>
    </row>
    <row r="43" customFormat="false" ht="15" hidden="false" customHeight="false" outlineLevel="0" collapsed="false">
      <c r="A43" s="8" t="n">
        <v>46203</v>
      </c>
      <c r="B43" s="9" t="n">
        <v>5910</v>
      </c>
      <c r="C43" s="9" t="s">
        <v>58</v>
      </c>
      <c r="D43" s="9" t="s">
        <v>32</v>
      </c>
      <c r="E43" s="9" t="s">
        <v>20</v>
      </c>
      <c r="F43" s="10" t="n">
        <v>10136835.8</v>
      </c>
      <c r="G43" s="10" t="n">
        <v>0</v>
      </c>
      <c r="H43" s="11" t="n">
        <f aca="false">F43-G43</f>
        <v>10136835.8</v>
      </c>
      <c r="I43" s="9" t="s">
        <v>57</v>
      </c>
      <c r="J43" s="0" t="s">
        <v>51</v>
      </c>
    </row>
    <row r="44" customFormat="false" ht="15" hidden="false" customHeight="false" outlineLevel="0" collapsed="false">
      <c r="A44" s="8" t="n">
        <v>46203</v>
      </c>
      <c r="B44" s="9" t="n">
        <v>8185</v>
      </c>
      <c r="C44" s="9" t="s">
        <v>52</v>
      </c>
      <c r="D44" s="9" t="s">
        <v>32</v>
      </c>
      <c r="E44" s="9" t="s">
        <v>30</v>
      </c>
      <c r="F44" s="10" t="n">
        <v>63313.4</v>
      </c>
      <c r="G44" s="10" t="n">
        <v>0</v>
      </c>
      <c r="H44" s="11" t="n">
        <f aca="false">F44-G44</f>
        <v>63313.4</v>
      </c>
      <c r="I44" s="9" t="s">
        <v>57</v>
      </c>
      <c r="J44" s="0" t="s">
        <v>51</v>
      </c>
    </row>
    <row r="45" customFormat="false" ht="15" hidden="false" customHeight="false" outlineLevel="0" collapsed="false">
      <c r="A45" s="8" t="n">
        <v>46204</v>
      </c>
      <c r="B45" s="9" t="n">
        <v>4766</v>
      </c>
      <c r="C45" s="9" t="s">
        <v>59</v>
      </c>
      <c r="D45" s="9" t="s">
        <v>28</v>
      </c>
      <c r="E45" s="9" t="s">
        <v>20</v>
      </c>
      <c r="F45" s="10" t="n">
        <v>120000</v>
      </c>
      <c r="G45" s="10" t="n">
        <v>0</v>
      </c>
      <c r="H45" s="11" t="n">
        <f aca="false">F45-G45</f>
        <v>120000</v>
      </c>
      <c r="I45" s="9" t="s">
        <v>57</v>
      </c>
      <c r="J45" s="0" t="s">
        <v>60</v>
      </c>
    </row>
    <row r="46" customFormat="false" ht="15" hidden="false" customHeight="false" outlineLevel="0" collapsed="false">
      <c r="A46" s="8" t="n">
        <v>46206</v>
      </c>
      <c r="B46" s="9" t="n">
        <v>7244</v>
      </c>
      <c r="C46" s="9" t="s">
        <v>27</v>
      </c>
      <c r="D46" s="9" t="s">
        <v>28</v>
      </c>
      <c r="E46" s="9" t="s">
        <v>43</v>
      </c>
      <c r="F46" s="10" t="n">
        <v>132708.6</v>
      </c>
      <c r="G46" s="10" t="n">
        <v>0</v>
      </c>
      <c r="H46" s="11" t="n">
        <f aca="false">F46-G46</f>
        <v>132708.6</v>
      </c>
      <c r="I46" s="9" t="s">
        <v>57</v>
      </c>
      <c r="J46" s="0" t="s">
        <v>60</v>
      </c>
    </row>
    <row r="47" customFormat="false" ht="15" hidden="false" customHeight="false" outlineLevel="0" collapsed="false">
      <c r="A47" s="8" t="n">
        <v>46209</v>
      </c>
      <c r="B47" s="9" t="n">
        <v>8188</v>
      </c>
      <c r="C47" s="9" t="s">
        <v>48</v>
      </c>
      <c r="D47" s="9" t="s">
        <v>19</v>
      </c>
      <c r="E47" s="9" t="s">
        <v>30</v>
      </c>
      <c r="F47" s="10" t="n">
        <v>73926</v>
      </c>
      <c r="G47" s="10" t="n">
        <v>0</v>
      </c>
      <c r="H47" s="11" t="n">
        <f aca="false">F47-G47</f>
        <v>73926</v>
      </c>
      <c r="I47" s="9" t="s">
        <v>57</v>
      </c>
      <c r="J47" s="0" t="s">
        <v>60</v>
      </c>
    </row>
    <row r="48" customFormat="false" ht="15" hidden="false" customHeight="false" outlineLevel="0" collapsed="false">
      <c r="A48" s="8" t="n">
        <v>46210</v>
      </c>
      <c r="B48" s="9" t="n">
        <v>7002</v>
      </c>
      <c r="C48" s="9" t="s">
        <v>39</v>
      </c>
      <c r="D48" s="9" t="s">
        <v>32</v>
      </c>
      <c r="E48" s="9" t="s">
        <v>30</v>
      </c>
      <c r="F48" s="10" t="n">
        <v>126896.64</v>
      </c>
      <c r="G48" s="10" t="n">
        <v>0</v>
      </c>
      <c r="H48" s="11" t="n">
        <f aca="false">F48-G48</f>
        <v>126896.64</v>
      </c>
      <c r="I48" s="9" t="s">
        <v>57</v>
      </c>
      <c r="J48" s="0" t="s">
        <v>60</v>
      </c>
    </row>
    <row r="49" customFormat="false" ht="15" hidden="false" customHeight="false" outlineLevel="0" collapsed="false">
      <c r="A49" s="8" t="n">
        <v>46211</v>
      </c>
      <c r="B49" s="9" t="n">
        <v>8185</v>
      </c>
      <c r="C49" s="9" t="s">
        <v>52</v>
      </c>
      <c r="D49" s="9" t="s">
        <v>32</v>
      </c>
      <c r="E49" s="9" t="s">
        <v>34</v>
      </c>
      <c r="F49" s="10" t="n">
        <v>63313.4</v>
      </c>
      <c r="G49" s="10" t="n">
        <v>0</v>
      </c>
      <c r="H49" s="11" t="n">
        <f aca="false">F49-G49</f>
        <v>63313.4</v>
      </c>
      <c r="I49" s="9" t="s">
        <v>57</v>
      </c>
      <c r="J49" s="0" t="s">
        <v>60</v>
      </c>
    </row>
    <row r="50" customFormat="false" ht="15" hidden="false" customHeight="false" outlineLevel="0" collapsed="false">
      <c r="A50" s="8" t="n">
        <v>46212</v>
      </c>
      <c r="B50" s="9" t="n">
        <v>6406</v>
      </c>
      <c r="C50" s="9" t="s">
        <v>55</v>
      </c>
      <c r="D50" s="9" t="s">
        <v>19</v>
      </c>
      <c r="E50" s="9" t="s">
        <v>30</v>
      </c>
      <c r="F50" s="10" t="n">
        <v>218602</v>
      </c>
      <c r="G50" s="10" t="n">
        <v>0</v>
      </c>
      <c r="H50" s="11" t="n">
        <f aca="false">F50-G50</f>
        <v>218602</v>
      </c>
      <c r="I50" s="9" t="s">
        <v>57</v>
      </c>
      <c r="J50" s="0" t="s">
        <v>60</v>
      </c>
    </row>
    <row r="51" customFormat="false" ht="15" hidden="false" customHeight="false" outlineLevel="0" collapsed="false">
      <c r="A51" s="8" t="n">
        <v>46214</v>
      </c>
      <c r="B51" s="9" t="n">
        <v>5910</v>
      </c>
      <c r="C51" s="9" t="s">
        <v>58</v>
      </c>
      <c r="D51" s="9" t="s">
        <v>32</v>
      </c>
      <c r="E51" s="9" t="s">
        <v>30</v>
      </c>
      <c r="F51" s="10" t="n">
        <v>15929313.4</v>
      </c>
      <c r="G51" s="10" t="n">
        <v>0</v>
      </c>
      <c r="H51" s="11" t="n">
        <f aca="false">F51-G51</f>
        <v>15929313.4</v>
      </c>
      <c r="I51" s="9" t="s">
        <v>57</v>
      </c>
      <c r="J51" s="0" t="s">
        <v>60</v>
      </c>
    </row>
    <row r="52" customFormat="false" ht="15" hidden="false" customHeight="false" outlineLevel="0" collapsed="false">
      <c r="A52" s="8" t="n">
        <v>46215</v>
      </c>
      <c r="B52" s="9" t="n">
        <v>7002</v>
      </c>
      <c r="C52" s="9" t="s">
        <v>39</v>
      </c>
      <c r="D52" s="9" t="s">
        <v>32</v>
      </c>
      <c r="E52" s="9" t="s">
        <v>34</v>
      </c>
      <c r="F52" s="10" t="n">
        <v>126896.64</v>
      </c>
      <c r="G52" s="10" t="n">
        <v>0</v>
      </c>
      <c r="H52" s="11" t="n">
        <f aca="false">F52-G52</f>
        <v>126896.64</v>
      </c>
      <c r="I52" s="9" t="s">
        <v>57</v>
      </c>
      <c r="J52" s="0" t="s">
        <v>60</v>
      </c>
    </row>
    <row r="53" customFormat="false" ht="15" hidden="false" customHeight="false" outlineLevel="0" collapsed="false">
      <c r="A53" s="8" t="n">
        <v>46225</v>
      </c>
      <c r="B53" s="9" t="n">
        <v>3456</v>
      </c>
      <c r="C53" s="9" t="s">
        <v>31</v>
      </c>
      <c r="D53" s="9" t="s">
        <v>32</v>
      </c>
      <c r="E53" s="9" t="s">
        <v>34</v>
      </c>
      <c r="F53" s="10" t="n">
        <v>335974.68</v>
      </c>
      <c r="G53" s="10" t="n">
        <v>0</v>
      </c>
      <c r="H53" s="11" t="n">
        <f aca="false">F53-G53</f>
        <v>335974.68</v>
      </c>
      <c r="I53" s="9" t="s">
        <v>57</v>
      </c>
      <c r="J53" s="0" t="s">
        <v>60</v>
      </c>
    </row>
    <row r="54" customFormat="false" ht="15" hidden="false" customHeight="false" outlineLevel="0" collapsed="false">
      <c r="A54" s="8" t="n">
        <v>46225</v>
      </c>
      <c r="B54" s="9" t="n">
        <v>8008</v>
      </c>
      <c r="C54" s="9" t="s">
        <v>36</v>
      </c>
      <c r="D54" s="9" t="s">
        <v>32</v>
      </c>
      <c r="E54" s="9" t="s">
        <v>30</v>
      </c>
      <c r="F54" s="10" t="n">
        <v>178088.4</v>
      </c>
      <c r="G54" s="10" t="n">
        <v>178088.4</v>
      </c>
      <c r="H54" s="11" t="n">
        <f aca="false">F54-G54</f>
        <v>0</v>
      </c>
      <c r="I54" s="9" t="s">
        <v>25</v>
      </c>
      <c r="J54" s="0" t="s">
        <v>60</v>
      </c>
    </row>
    <row r="55" customFormat="false" ht="15" hidden="false" customHeight="false" outlineLevel="0" collapsed="false">
      <c r="A55" s="8" t="n">
        <v>46231</v>
      </c>
      <c r="B55" s="9" t="n">
        <v>7894</v>
      </c>
      <c r="C55" s="9" t="s">
        <v>53</v>
      </c>
      <c r="D55" s="9" t="s">
        <v>32</v>
      </c>
      <c r="E55" s="9" t="s">
        <v>40</v>
      </c>
      <c r="F55" s="10" t="n">
        <v>737597.4</v>
      </c>
      <c r="G55" s="10" t="n">
        <v>0</v>
      </c>
      <c r="H55" s="11" t="n">
        <f aca="false">F55-G55</f>
        <v>737597.4</v>
      </c>
      <c r="I55" s="9" t="s">
        <v>57</v>
      </c>
      <c r="J55" s="0" t="s">
        <v>60</v>
      </c>
    </row>
    <row r="56" customFormat="false" ht="15" hidden="false" customHeight="false" outlineLevel="0" collapsed="false">
      <c r="A56" s="8" t="n">
        <v>46233</v>
      </c>
      <c r="B56" s="9" t="n">
        <v>8008</v>
      </c>
      <c r="C56" s="9" t="s">
        <v>36</v>
      </c>
      <c r="D56" s="9" t="s">
        <v>32</v>
      </c>
      <c r="E56" s="9" t="s">
        <v>34</v>
      </c>
      <c r="F56" s="10" t="n">
        <v>178088.4</v>
      </c>
      <c r="G56" s="10" t="n">
        <v>0</v>
      </c>
      <c r="H56" s="11" t="n">
        <f aca="false">F56-G56</f>
        <v>178088.4</v>
      </c>
      <c r="I56" s="9" t="s">
        <v>57</v>
      </c>
      <c r="J56" s="0" t="s">
        <v>60</v>
      </c>
    </row>
    <row r="57" customFormat="false" ht="15" hidden="false" customHeight="false" outlineLevel="0" collapsed="false">
      <c r="A57" s="8" t="n">
        <v>46234</v>
      </c>
      <c r="B57" s="9" t="n">
        <v>7894</v>
      </c>
      <c r="C57" s="9" t="s">
        <v>53</v>
      </c>
      <c r="D57" s="9" t="s">
        <v>32</v>
      </c>
      <c r="E57" s="9" t="s">
        <v>30</v>
      </c>
      <c r="F57" s="10" t="n">
        <v>185968</v>
      </c>
      <c r="G57" s="10" t="n">
        <v>0</v>
      </c>
      <c r="H57" s="11" t="n">
        <f aca="false">F57-G57</f>
        <v>185968</v>
      </c>
      <c r="I57" s="9" t="s">
        <v>57</v>
      </c>
      <c r="J57" s="0" t="s">
        <v>60</v>
      </c>
    </row>
    <row r="58" customFormat="false" ht="15" hidden="false" customHeight="false" outlineLevel="0" collapsed="false">
      <c r="A58" s="8" t="n">
        <v>46245</v>
      </c>
      <c r="B58" s="9" t="n">
        <v>7894</v>
      </c>
      <c r="C58" s="9" t="s">
        <v>53</v>
      </c>
      <c r="D58" s="9" t="s">
        <v>32</v>
      </c>
      <c r="E58" s="9" t="s">
        <v>34</v>
      </c>
      <c r="F58" s="10" t="n">
        <v>185967.99</v>
      </c>
      <c r="G58" s="10" t="n">
        <v>0</v>
      </c>
      <c r="H58" s="11" t="n">
        <f aca="false">F58-G58</f>
        <v>185967.99</v>
      </c>
      <c r="I58" s="9" t="s">
        <v>57</v>
      </c>
      <c r="J58" s="0" t="s">
        <v>61</v>
      </c>
    </row>
    <row r="59" customFormat="false" ht="15" hidden="false" customHeight="false" outlineLevel="0" collapsed="false">
      <c r="A59" s="8" t="n">
        <v>46246</v>
      </c>
      <c r="B59" s="9" t="n">
        <v>5910</v>
      </c>
      <c r="C59" s="9" t="s">
        <v>58</v>
      </c>
      <c r="D59" s="9" t="s">
        <v>32</v>
      </c>
      <c r="E59" s="9" t="s">
        <v>34</v>
      </c>
      <c r="F59" s="10" t="n">
        <v>2896238.8</v>
      </c>
      <c r="G59" s="10" t="n">
        <v>0</v>
      </c>
      <c r="H59" s="11" t="n">
        <f aca="false">F59-G59</f>
        <v>2896238.8</v>
      </c>
      <c r="I59" s="9" t="s">
        <v>57</v>
      </c>
      <c r="J59" s="0" t="s">
        <v>61</v>
      </c>
    </row>
    <row r="60" customFormat="false" ht="15" hidden="false" customHeight="false" outlineLevel="0" collapsed="false">
      <c r="A60" s="8" t="n">
        <v>46260</v>
      </c>
      <c r="B60" s="9" t="n">
        <v>7002</v>
      </c>
      <c r="C60" s="9" t="s">
        <v>39</v>
      </c>
      <c r="D60" s="9" t="s">
        <v>32</v>
      </c>
      <c r="E60" s="9" t="s">
        <v>43</v>
      </c>
      <c r="F60" s="10" t="n">
        <v>573945</v>
      </c>
      <c r="G60" s="10" t="n">
        <v>0</v>
      </c>
      <c r="H60" s="11" t="n">
        <f aca="false">F60-G60</f>
        <v>573945</v>
      </c>
      <c r="I60" s="9" t="s">
        <v>57</v>
      </c>
      <c r="J60" s="0" t="s">
        <v>61</v>
      </c>
    </row>
    <row r="61" customFormat="false" ht="15" hidden="false" customHeight="false" outlineLevel="0" collapsed="false">
      <c r="A61" s="8" t="n">
        <v>46277</v>
      </c>
      <c r="B61" s="9" t="n">
        <v>4766</v>
      </c>
      <c r="C61" s="9" t="s">
        <v>59</v>
      </c>
      <c r="D61" s="9" t="s">
        <v>28</v>
      </c>
      <c r="E61" s="9" t="s">
        <v>43</v>
      </c>
      <c r="F61" s="10" t="n">
        <v>4880000</v>
      </c>
      <c r="G61" s="10" t="n">
        <v>0</v>
      </c>
      <c r="H61" s="11" t="n">
        <f aca="false">F61-G61</f>
        <v>4880000</v>
      </c>
      <c r="I61" s="9" t="s">
        <v>57</v>
      </c>
      <c r="J61" s="0" t="s">
        <v>62</v>
      </c>
    </row>
    <row r="62" customFormat="false" ht="15" hidden="false" customHeight="false" outlineLevel="0" collapsed="false">
      <c r="A62" s="8" t="n">
        <v>46282</v>
      </c>
      <c r="B62" s="9" t="n">
        <v>7894</v>
      </c>
      <c r="C62" s="9" t="s">
        <v>53</v>
      </c>
      <c r="D62" s="9" t="s">
        <v>32</v>
      </c>
      <c r="E62" s="9" t="s">
        <v>43</v>
      </c>
      <c r="F62" s="10" t="n">
        <v>737597.4</v>
      </c>
      <c r="G62" s="10" t="n">
        <v>0</v>
      </c>
      <c r="H62" s="11" t="n">
        <f aca="false">F62-G62</f>
        <v>737597.4</v>
      </c>
      <c r="I62" s="9" t="s">
        <v>57</v>
      </c>
      <c r="J62" s="0" t="s">
        <v>62</v>
      </c>
    </row>
    <row r="63" customFormat="false" ht="15" hidden="false" customHeight="false" outlineLevel="0" collapsed="false">
      <c r="E63" s="3" t="s">
        <v>63</v>
      </c>
      <c r="F63" s="12" t="n">
        <f aca="false">SUM(F2:F62)</f>
        <v>83776816.96</v>
      </c>
      <c r="G63" s="12" t="n">
        <f aca="false">SUM(G2:G62)</f>
        <v>28509018.41</v>
      </c>
      <c r="H63" s="12" t="n">
        <f aca="false">SUM(H2:H62)</f>
        <v>55267798.55</v>
      </c>
    </row>
  </sheetData>
  <autoFilter ref="A1:I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5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7" t="s">
        <v>64</v>
      </c>
      <c r="B1" s="7" t="s">
        <v>13</v>
      </c>
      <c r="C1" s="7" t="s">
        <v>14</v>
      </c>
      <c r="D1" s="7" t="s">
        <v>15</v>
      </c>
      <c r="E1" s="7" t="s">
        <v>65</v>
      </c>
    </row>
    <row r="2" customFormat="false" ht="15" hidden="false" customHeight="false" outlineLevel="0" collapsed="false">
      <c r="A2" s="9" t="s">
        <v>66</v>
      </c>
      <c r="B2" s="11" t="n">
        <f aca="false">SUMIF('Графік надходжень'!J:J,"2026-04",'Графік надходжень'!F:F)</f>
        <v>6438743</v>
      </c>
      <c r="C2" s="11" t="n">
        <f aca="false">SUMIF('Графік надходжень'!J:J,"2026-04",'Графік надходжень'!G:G)</f>
        <v>2490653</v>
      </c>
      <c r="D2" s="11" t="n">
        <f aca="false">B2-C2</f>
        <v>3948090</v>
      </c>
      <c r="E2" s="13" t="n">
        <f aca="false">IF(B2=0,0,C2/B2)</f>
        <v>0.386822862785485</v>
      </c>
    </row>
    <row r="3" customFormat="false" ht="15" hidden="false" customHeight="false" outlineLevel="0" collapsed="false">
      <c r="A3" s="9" t="s">
        <v>67</v>
      </c>
      <c r="B3" s="11" t="n">
        <f aca="false">SUMIF('Графік надходжень'!J:J,"2026-05",'Графік надходжень'!F:F)</f>
        <v>19183165.56</v>
      </c>
      <c r="C3" s="11" t="n">
        <f aca="false">SUMIF('Графік надходжень'!J:J,"2026-05",'Графік надходжень'!G:G)</f>
        <v>19183165.56</v>
      </c>
      <c r="D3" s="11" t="n">
        <f aca="false">B3-C3</f>
        <v>0</v>
      </c>
      <c r="E3" s="13" t="n">
        <f aca="false">IF(B3=0,0,C3/B3)</f>
        <v>1</v>
      </c>
    </row>
    <row r="4" customFormat="false" ht="15" hidden="false" customHeight="false" outlineLevel="0" collapsed="false">
      <c r="A4" s="9" t="s">
        <v>68</v>
      </c>
      <c r="B4" s="11" t="n">
        <f aca="false">SUMIF('Графік надходжень'!J:J,"2026-06",'Графік надходжень'!F:F)</f>
        <v>30473785.65</v>
      </c>
      <c r="C4" s="11" t="n">
        <f aca="false">SUMIF('Графік надходжень'!J:J,"2026-06",'Графік надходжень'!G:G)</f>
        <v>6657111.45</v>
      </c>
      <c r="D4" s="11" t="n">
        <f aca="false">B4-C4</f>
        <v>23816674.2</v>
      </c>
      <c r="E4" s="13" t="n">
        <f aca="false">IF(B4=0,0,C4/B4)</f>
        <v>0.218453707276766</v>
      </c>
    </row>
    <row r="5" customFormat="false" ht="15" hidden="false" customHeight="false" outlineLevel="0" collapsed="false">
      <c r="A5" s="9" t="s">
        <v>69</v>
      </c>
      <c r="B5" s="11" t="n">
        <f aca="false">SUMIF('Графік надходжень'!J:J,"2026-07",'Графік надходжень'!F:F)</f>
        <v>18407373.56</v>
      </c>
      <c r="C5" s="11" t="n">
        <f aca="false">SUMIF('Графік надходжень'!J:J,"2026-07",'Графік надходжень'!G:G)</f>
        <v>178088.4</v>
      </c>
      <c r="D5" s="11" t="n">
        <f aca="false">B5-C5</f>
        <v>18229285.16</v>
      </c>
      <c r="E5" s="13" t="n">
        <f aca="false">IF(B5=0,0,C5/B5)</f>
        <v>0.00967484032523758</v>
      </c>
    </row>
    <row r="6" customFormat="false" ht="15" hidden="false" customHeight="false" outlineLevel="0" collapsed="false">
      <c r="A6" s="9" t="s">
        <v>70</v>
      </c>
      <c r="B6" s="11" t="n">
        <f aca="false">SUMIF('Графік надходжень'!J:J,"2026-08",'Графік надходжень'!F:F)</f>
        <v>3656151.79</v>
      </c>
      <c r="C6" s="11" t="n">
        <f aca="false">SUMIF('Графік надходжень'!J:J,"2026-08",'Графік надходжень'!G:G)</f>
        <v>0</v>
      </c>
      <c r="D6" s="11" t="n">
        <f aca="false">B6-C6</f>
        <v>3656151.79</v>
      </c>
      <c r="E6" s="13" t="n">
        <f aca="false">IF(B6=0,0,C6/B6)</f>
        <v>0</v>
      </c>
    </row>
    <row r="7" customFormat="false" ht="15" hidden="false" customHeight="false" outlineLevel="0" collapsed="false">
      <c r="A7" s="9" t="s">
        <v>71</v>
      </c>
      <c r="B7" s="11" t="n">
        <f aca="false">SUMIF('Графік надходжень'!J:J,"2026-09",'Графік надходжень'!F:F)</f>
        <v>5617597.4</v>
      </c>
      <c r="C7" s="11" t="n">
        <f aca="false">SUMIF('Графік надходжень'!J:J,"2026-09",'Графік надходжень'!G:G)</f>
        <v>0</v>
      </c>
      <c r="D7" s="11" t="n">
        <f aca="false">B7-C7</f>
        <v>5617597.4</v>
      </c>
      <c r="E7" s="13" t="n">
        <f aca="false">IF(B7=0,0,C7/B7)</f>
        <v>0</v>
      </c>
    </row>
    <row r="8" customFormat="false" ht="15" hidden="false" customHeight="false" outlineLevel="0" collapsed="false">
      <c r="A8" s="3" t="s">
        <v>63</v>
      </c>
      <c r="B8" s="12" t="n">
        <f aca="false">SUM(B2:B7)</f>
        <v>83776816.96</v>
      </c>
      <c r="C8" s="12" t="n">
        <f aca="false">SUM(C2:C7)</f>
        <v>28509018.41</v>
      </c>
      <c r="D8" s="12" t="n">
        <f aca="false">SUM(D2:D7)</f>
        <v>55267798.55</v>
      </c>
      <c r="E8" s="14" t="n">
        <f aca="false">IF(B8=0,0,C8/B8)</f>
        <v>0.340297225945119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7" min="5" style="0" width="15"/>
  </cols>
  <sheetData>
    <row r="1" customFormat="false" ht="35.05" hidden="false" customHeight="false" outlineLevel="0" collapsed="false">
      <c r="A1" s="7" t="s">
        <v>8</v>
      </c>
      <c r="B1" s="7" t="s">
        <v>9</v>
      </c>
      <c r="C1" s="7" t="s">
        <v>10</v>
      </c>
      <c r="D1" s="7" t="s">
        <v>12</v>
      </c>
      <c r="E1" s="7" t="s">
        <v>13</v>
      </c>
      <c r="F1" s="7" t="s">
        <v>14</v>
      </c>
      <c r="G1" s="7" t="s">
        <v>72</v>
      </c>
    </row>
    <row r="2" customFormat="false" ht="15" hidden="false" customHeight="false" outlineLevel="0" collapsed="false">
      <c r="A2" s="8" t="n">
        <v>46189</v>
      </c>
      <c r="B2" s="9" t="n">
        <v>5870</v>
      </c>
      <c r="C2" s="9" t="s">
        <v>37</v>
      </c>
      <c r="D2" s="9" t="s">
        <v>30</v>
      </c>
      <c r="E2" s="11" t="n">
        <v>7800000</v>
      </c>
      <c r="F2" s="11" t="n">
        <v>0</v>
      </c>
      <c r="G2" s="11" t="n">
        <f aca="false">E2-F2</f>
        <v>7800000</v>
      </c>
    </row>
    <row r="3" customFormat="false" ht="15" hidden="false" customHeight="false" outlineLevel="0" collapsed="false">
      <c r="A3" s="8" t="n">
        <v>46113</v>
      </c>
      <c r="B3" s="9" t="n">
        <v>7068</v>
      </c>
      <c r="C3" s="9" t="s">
        <v>18</v>
      </c>
      <c r="D3" s="9" t="s">
        <v>20</v>
      </c>
      <c r="E3" s="11" t="n">
        <v>5640128</v>
      </c>
      <c r="F3" s="11" t="n">
        <v>1692038</v>
      </c>
      <c r="G3" s="11" t="n">
        <f aca="false">E3-F3</f>
        <v>3948090</v>
      </c>
    </row>
    <row r="4" customFormat="false" ht="15" hidden="false" customHeight="false" outlineLevel="0" collapsed="false">
      <c r="A4" s="8" t="n">
        <v>46189</v>
      </c>
      <c r="B4" s="9" t="n">
        <v>7002</v>
      </c>
      <c r="C4" s="9" t="s">
        <v>39</v>
      </c>
      <c r="D4" s="9" t="s">
        <v>40</v>
      </c>
      <c r="E4" s="11" t="n">
        <v>573945</v>
      </c>
      <c r="F4" s="11" t="n">
        <v>0</v>
      </c>
      <c r="G4" s="11" t="n">
        <f aca="false">E4-F4</f>
        <v>573945</v>
      </c>
    </row>
    <row r="5" customFormat="false" ht="15" hidden="false" customHeight="false" outlineLevel="0" collapsed="false">
      <c r="A5" s="8" t="n">
        <v>46197</v>
      </c>
      <c r="B5" s="9" t="n">
        <v>8360</v>
      </c>
      <c r="C5" s="9" t="s">
        <v>35</v>
      </c>
      <c r="D5" s="9" t="s">
        <v>34</v>
      </c>
      <c r="E5" s="11" t="n">
        <v>95968.3</v>
      </c>
      <c r="F5" s="11" t="n">
        <v>95936.6</v>
      </c>
      <c r="G5" s="11" t="n">
        <f aca="false">E5-F5</f>
        <v>31.6999999999971</v>
      </c>
    </row>
    <row r="6" customFormat="false" ht="15" hidden="false" customHeight="false" outlineLevel="0" collapsed="false">
      <c r="D6" s="3" t="s">
        <v>63</v>
      </c>
      <c r="E6" s="12" t="n">
        <f aca="false">SUM(E2:E5)</f>
        <v>14110041.3</v>
      </c>
      <c r="F6" s="12" t="n">
        <f aca="false">SUM(F2:F5)</f>
        <v>1787974.6</v>
      </c>
      <c r="G6" s="12" t="n">
        <f aca="false">SUM(G2:G5)</f>
        <v>12322066.7</v>
      </c>
    </row>
  </sheetData>
  <autoFilter ref="A1:G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2026-06-25T03:58:10Z</dcterms:created>
  <dc:creator>openpyxl</dc:creator>
  <dc:description/>
  <dc:language>en-US</dc:language>
  <cp:lastModifiedBy/>
  <dcterms:modified xsi:type="dcterms:W3CDTF">2026-06-25T03:58:10Z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