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надходжень'!$A$1:$I$100</definedName>
    <definedName name="_xlnm._FilterDatabase" localSheetId="3" hidden="1">'Прострочені'!$A$1:$G$6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10.09.2026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2599500</v>
      </c>
      <c r="G10" s="10" t="n">
        <v>2599500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5199000</v>
      </c>
      <c r="G11" s="10" t="n">
        <v>5199000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1871640</v>
      </c>
      <c r="G39" s="10" t="n">
        <v>1871640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457512</v>
      </c>
      <c r="G44" s="10" t="n">
        <v>457512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8687009.1</v>
      </c>
      <c r="G54" s="10" t="n">
        <v>8687009.1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4091613</v>
      </c>
      <c r="G57" s="10" t="n">
        <v>4091613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4976742.75</v>
      </c>
      <c r="G66" s="10" t="n">
        <v>4976742.75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757754.25</v>
      </c>
      <c r="G67" s="10" t="n">
        <v>757754.25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562271.85</v>
      </c>
      <c r="G69" s="10" t="n">
        <v>562271.85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46255</v>
      </c>
      <c r="B70" s="9" t="n">
        <v>7414</v>
      </c>
      <c r="C70" s="9" t="inlineStr">
        <is>
          <t>-26 ГШ Фундамент домобудування Володимир</t>
        </is>
      </c>
      <c r="D70" s="9" t="inlineStr">
        <is>
          <t>Заянчковський</t>
        </is>
      </c>
      <c r="E70" s="9" t="inlineStr">
        <is>
          <t>Авансовий платіж</t>
        </is>
      </c>
      <c r="F70" s="10" t="n">
        <v>94000</v>
      </c>
      <c r="G70" s="10" t="n">
        <v>94000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185968</v>
      </c>
      <c r="G71" s="10" t="n">
        <v>185968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185967.99</v>
      </c>
      <c r="G72" s="10" t="n">
        <v>185967.99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Четвертий платіж</t>
        </is>
      </c>
      <c r="F73" s="10" t="n">
        <v>737597.4</v>
      </c>
      <c r="G73" s="10" t="n">
        <v>737597.4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8898</v>
      </c>
      <c r="C74" s="9" t="inlineStr">
        <is>
          <t>Григорівка №3</t>
        </is>
      </c>
      <c r="D74" s="9" t="inlineStr">
        <is>
          <t>Донська</t>
        </is>
      </c>
      <c r="E74" s="9" t="inlineStr">
        <is>
          <t>Другий платіж</t>
        </is>
      </c>
      <c r="F74" s="10" t="n">
        <v>188043.75</v>
      </c>
      <c r="G74" s="10" t="n">
        <v>188043.75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46260</v>
      </c>
      <c r="B75" s="9" t="n">
        <v>6406</v>
      </c>
      <c r="C75" s="9" t="inlineStr">
        <is>
          <t>Максим Яловий Чинадієво</t>
        </is>
      </c>
      <c r="D75" s="9" t="inlineStr">
        <is>
          <t>Іщук</t>
        </is>
      </c>
      <c r="E75" s="9" t="inlineStr">
        <is>
          <t>Другий платіж</t>
        </is>
      </c>
      <c r="F75" s="10" t="n">
        <v>218602</v>
      </c>
      <c r="G75" s="10" t="n">
        <v>170788</v>
      </c>
      <c r="H75" s="11">
        <f>F75-G75</f>
        <v/>
      </c>
      <c r="I75" s="9" t="inlineStr">
        <is>
          <t>прострочено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8878</v>
      </c>
      <c r="C76" s="9" t="inlineStr">
        <is>
          <t>А ТОВ КОМПАНІЯ ВОЛЬТ СЕРВІС ГРУП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12823</v>
      </c>
      <c r="G76" s="10" t="n">
        <v>12823</v>
      </c>
      <c r="H76" s="11">
        <f>F76-G76</f>
        <v/>
      </c>
      <c r="I76" s="9" t="inlineStr">
        <is>
          <t>отримано</t>
        </is>
      </c>
      <c r="J76" t="inlineStr">
        <is>
          <t>2026-08</t>
        </is>
      </c>
      <c r="K76" s="12" t="inlineStr"/>
    </row>
    <row r="77">
      <c r="A77" s="8" t="n">
        <v>46268</v>
      </c>
      <c r="B77" s="9" t="n">
        <v>6356</v>
      </c>
      <c r="C77" s="9" t="inlineStr">
        <is>
          <t>-26 SOLAR Наземні СЕС 3 Kirill Trokhin</t>
        </is>
      </c>
      <c r="D77" s="9" t="inlineStr">
        <is>
          <t>Хома</t>
        </is>
      </c>
      <c r="E77" s="9" t="inlineStr">
        <is>
          <t>Авансовий платіж</t>
        </is>
      </c>
      <c r="F77" s="10" t="n">
        <v>2831167.44</v>
      </c>
      <c r="G77" s="10" t="n">
        <v>2831167.44</v>
      </c>
      <c r="H77" s="11">
        <f>F77-G77</f>
        <v/>
      </c>
      <c r="I77" s="9" t="inlineStr">
        <is>
          <t>отримано</t>
        </is>
      </c>
      <c r="J77" t="inlineStr">
        <is>
          <t>2026-09</t>
        </is>
      </c>
      <c r="K77" s="12" t="inlineStr">
        <is>
          <t>€54 456</t>
        </is>
      </c>
    </row>
    <row r="78">
      <c r="A78" s="8" t="n">
        <v>46268</v>
      </c>
      <c r="B78" s="9" t="n">
        <v>7414</v>
      </c>
      <c r="C78" s="9" t="inlineStr">
        <is>
          <t>-26 ГШ Фундамент домобудування Володимир</t>
        </is>
      </c>
      <c r="D78" s="9" t="inlineStr">
        <is>
          <t>Заянчковський</t>
        </is>
      </c>
      <c r="E78" s="9" t="inlineStr">
        <is>
          <t>Другий платіж</t>
        </is>
      </c>
      <c r="F78" s="10" t="n">
        <v>13349.1</v>
      </c>
      <c r="G78" s="10" t="n">
        <v>13349.1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/>
    </row>
    <row r="79">
      <c r="A79" s="8" t="n">
        <v>46272</v>
      </c>
      <c r="B79" s="9" t="n">
        <v>8497</v>
      </c>
      <c r="C79" s="9" t="inlineStr">
        <is>
          <t>LSG 110MWt   50 points</t>
        </is>
      </c>
      <c r="D79" s="9" t="inlineStr">
        <is>
          <t>Іщук</t>
        </is>
      </c>
      <c r="E79" s="9" t="inlineStr">
        <is>
          <t>Авансовий платіж</t>
        </is>
      </c>
      <c r="F79" s="10" t="n">
        <v>1571397.75</v>
      </c>
      <c r="G79" s="10" t="n">
        <v>1571397.75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>
        <is>
          <t>€30 225</t>
        </is>
      </c>
    </row>
    <row r="80">
      <c r="A80" s="8" t="n">
        <v>46274</v>
      </c>
      <c r="B80" s="9" t="n">
        <v>3456</v>
      </c>
      <c r="C80" s="9" t="inlineStr">
        <is>
          <t>А Підселання фундаменту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335974.68</v>
      </c>
      <c r="G80" s="10" t="n">
        <v>0</v>
      </c>
      <c r="H80" s="11">
        <f>F80-G80</f>
        <v/>
      </c>
      <c r="I80" s="9" t="inlineStr">
        <is>
          <t>прострочено</t>
        </is>
      </c>
      <c r="J80" t="inlineStr">
        <is>
          <t>2026-09</t>
        </is>
      </c>
      <c r="K80" s="12" t="inlineStr"/>
    </row>
    <row r="81">
      <c r="A81" s="8" t="n">
        <v>46274</v>
      </c>
      <c r="B81" s="9" t="n">
        <v>5870</v>
      </c>
      <c r="C81" s="9" t="inlineStr">
        <is>
          <t>Carport Airport Munich</t>
        </is>
      </c>
      <c r="D81" s="9" t="inlineStr">
        <is>
          <t>Хома</t>
        </is>
      </c>
      <c r="E81" s="9" t="inlineStr">
        <is>
          <t>Четвертий платіж</t>
        </is>
      </c>
      <c r="F81" s="10" t="n">
        <v>909825</v>
      </c>
      <c r="G81" s="10" t="n">
        <v>0</v>
      </c>
      <c r="H81" s="11">
        <f>F81-G81</f>
        <v/>
      </c>
      <c r="I81" s="9" t="inlineStr">
        <is>
          <t>прострочено</t>
        </is>
      </c>
      <c r="J81" t="inlineStr">
        <is>
          <t>2026-09</t>
        </is>
      </c>
      <c r="K81" s="12" t="inlineStr">
        <is>
          <t>€17 500</t>
        </is>
      </c>
    </row>
    <row r="82">
      <c r="A82" s="8" t="n">
        <v>46275</v>
      </c>
      <c r="B82" s="9" t="n">
        <v>7002</v>
      </c>
      <c r="C82" s="9" t="inlineStr">
        <is>
          <t>Фора SCP Млиново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573945</v>
      </c>
      <c r="G82" s="10" t="n">
        <v>0</v>
      </c>
      <c r="H82" s="11">
        <f>F82-G82</f>
        <v/>
      </c>
      <c r="I82" s="9" t="inlineStr">
        <is>
          <t>прострочено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7002</v>
      </c>
      <c r="C83" s="9" t="inlineStr">
        <is>
          <t>Фора SCP Млиново</t>
        </is>
      </c>
      <c r="D83" s="9" t="inlineStr">
        <is>
          <t>Донська</t>
        </is>
      </c>
      <c r="E83" s="9" t="inlineStr">
        <is>
          <t>Шостий платіж (Допка)</t>
        </is>
      </c>
      <c r="F83" s="10" t="n">
        <v>257000</v>
      </c>
      <c r="G83" s="10" t="n">
        <v>0</v>
      </c>
      <c r="H83" s="11">
        <f>F83-G83</f>
        <v/>
      </c>
      <c r="I83" s="9" t="inlineStr">
        <is>
          <t>прострочено</t>
        </is>
      </c>
      <c r="J83" t="inlineStr">
        <is>
          <t>2026-09</t>
        </is>
      </c>
      <c r="K83" s="12" t="inlineStr"/>
    </row>
    <row r="84">
      <c r="A84" s="8" t="n">
        <v>46280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46283</v>
      </c>
      <c r="B85" s="9" t="n">
        <v>4766</v>
      </c>
      <c r="C85" s="9" t="inlineStr">
        <is>
          <t>ALTECO Carport Model Taurus 280кВт</t>
        </is>
      </c>
      <c r="D85" s="9" t="inlineStr">
        <is>
          <t>Заянчковський</t>
        </is>
      </c>
      <c r="E85" s="9" t="inlineStr">
        <is>
          <t>П'ятий платіж</t>
        </is>
      </c>
      <c r="F85" s="10" t="n">
        <v>1263447.42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46283</v>
      </c>
      <c r="B86" s="9" t="n">
        <v>7508</v>
      </c>
      <c r="C86" s="9" t="inlineStr">
        <is>
          <t>8602 Євген Весільна тераса Подорожнє</t>
        </is>
      </c>
      <c r="D86" s="9" t="inlineStr">
        <is>
          <t>Заянчковський</t>
        </is>
      </c>
      <c r="E86" s="9" t="inlineStr">
        <is>
          <t>Третій платіж</t>
        </is>
      </c>
      <c r="F86" s="10" t="n">
        <v>750999.9399999999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/>
    </row>
    <row r="87">
      <c r="A87" s="8" t="n">
        <v>46286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Другий платіж 60%</t>
        </is>
      </c>
      <c r="F87" s="10" t="n">
        <v>17374070.19</v>
      </c>
      <c r="G87" s="10" t="n">
        <v>7246418.19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>
        <is>
          <t>€334 181</t>
        </is>
      </c>
    </row>
    <row r="88">
      <c r="A88" s="8" t="n">
        <v>46286</v>
      </c>
      <c r="B88" s="9" t="n">
        <v>5910</v>
      </c>
      <c r="C88" s="9" t="inlineStr">
        <is>
          <t>SGM Brdovec, Хорватия</t>
        </is>
      </c>
      <c r="D88" s="9" t="inlineStr">
        <is>
          <t>Донська</t>
        </is>
      </c>
      <c r="E88" s="9" t="inlineStr">
        <is>
          <t>Третій платіж</t>
        </is>
      </c>
      <c r="F88" s="10" t="n">
        <v>2895531.06</v>
      </c>
      <c r="G88" s="10" t="n">
        <v>459747.57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>
        <is>
          <t>€55 694</t>
        </is>
      </c>
    </row>
    <row r="89">
      <c r="A89" s="8" t="n">
        <v>46286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44148.4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46293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Третій платіж</t>
        </is>
      </c>
      <c r="F90" s="10" t="n">
        <v>1119237.26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46293</v>
      </c>
      <c r="B91" s="9" t="n">
        <v>6352</v>
      </c>
      <c r="C91" s="9" t="inlineStr">
        <is>
          <t>АБМК SCP Blade 8PS</t>
        </is>
      </c>
      <c r="D91" s="9" t="inlineStr">
        <is>
          <t>Донська</t>
        </is>
      </c>
      <c r="E91" s="9" t="inlineStr">
        <is>
          <t>Четвертий платіж</t>
        </is>
      </c>
      <c r="F91" s="10" t="n">
        <v>371982.96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46295</v>
      </c>
      <c r="B92" s="9" t="n">
        <v>7244</v>
      </c>
      <c r="C92" s="9" t="inlineStr">
        <is>
          <t>В Модулекс модульна будівля Чернігів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132708.6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2026-09</t>
        </is>
      </c>
      <c r="K92" s="12" t="inlineStr"/>
    </row>
    <row r="93">
      <c r="A93" s="8" t="n">
        <v>46295</v>
      </c>
      <c r="B93" s="9" t="n">
        <v>7414</v>
      </c>
      <c r="C93" s="9" t="inlineStr">
        <is>
          <t>-26 ГШ Фундамент домобудування Володимир</t>
        </is>
      </c>
      <c r="D93" s="9" t="inlineStr">
        <is>
          <t>Заянчковський</t>
        </is>
      </c>
      <c r="E93" s="9" t="inlineStr">
        <is>
          <t>Четвертий платіж</t>
        </is>
      </c>
      <c r="F93" s="10" t="n">
        <v>57497.5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2026-09</t>
        </is>
      </c>
      <c r="K93" s="12" t="inlineStr"/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46311</v>
      </c>
      <c r="B96" s="9" t="n">
        <v>7894</v>
      </c>
      <c r="C96" s="9" t="inlineStr">
        <is>
          <t>SCP Фора  Хотів</t>
        </is>
      </c>
      <c r="D96" s="9" t="inlineStr">
        <is>
          <t>Донська</t>
        </is>
      </c>
      <c r="E96" s="9" t="inlineStr">
        <is>
          <t>П'ятий платіж</t>
        </is>
      </c>
      <c r="F96" s="10" t="n">
        <v>737597.4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46311</v>
      </c>
      <c r="B97" s="9" t="n">
        <v>8497</v>
      </c>
      <c r="C97" s="9" t="inlineStr">
        <is>
          <t>LSG 110MWt   50 points</t>
        </is>
      </c>
      <c r="D97" s="9" t="inlineStr">
        <is>
          <t>Іщук</t>
        </is>
      </c>
      <c r="E97" s="9" t="inlineStr">
        <is>
          <t>Другий платіж</t>
        </is>
      </c>
      <c r="F97" s="10" t="n">
        <v>523799.25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>
        <is>
          <t>€10 075</t>
        </is>
      </c>
    </row>
    <row r="98">
      <c r="A98" s="8" t="n">
        <v>46316</v>
      </c>
      <c r="B98" s="9" t="n">
        <v>6356</v>
      </c>
      <c r="C98" s="9" t="inlineStr">
        <is>
          <t>-26 SOLAR Наземні СЕС 3 Kirill Trokhin</t>
        </is>
      </c>
      <c r="D98" s="9" t="inlineStr">
        <is>
          <t>Хома</t>
        </is>
      </c>
      <c r="E98" s="9" t="inlineStr">
        <is>
          <t>Другий платіж</t>
        </is>
      </c>
      <c r="F98" s="10" t="n">
        <v>3339837.6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€64 240</t>
        </is>
      </c>
    </row>
    <row r="99">
      <c r="A99" s="8" t="n">
        <v>46321</v>
      </c>
      <c r="B99" s="9" t="n">
        <v>6352</v>
      </c>
      <c r="C99" s="9" t="inlineStr">
        <is>
          <t>АБМК SCP Blade 8PS</t>
        </is>
      </c>
      <c r="D99" s="9" t="inlineStr">
        <is>
          <t>Донська</t>
        </is>
      </c>
      <c r="E99" s="9" t="inlineStr">
        <is>
          <t>П'ятий платіж</t>
        </is>
      </c>
      <c r="F99" s="10" t="n">
        <v>651792.28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/>
    </row>
    <row r="100">
      <c r="A100" s="8" t="n">
        <v>46322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Третій платіж</t>
        </is>
      </c>
      <c r="F100" s="10" t="n">
        <v>667967.52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€12 848</t>
        </is>
      </c>
    </row>
    <row r="101">
      <c r="E101" s="3" t="inlineStr">
        <is>
          <t>Разом</t>
        </is>
      </c>
      <c r="F101" s="13">
        <f>SUM(F2:F100)</f>
        <v/>
      </c>
      <c r="G101" s="13">
        <f>SUM(G2:G100)</f>
        <v/>
      </c>
      <c r="H101" s="13">
        <f>SUM(H2:H100)</f>
        <v/>
      </c>
    </row>
  </sheetData>
  <autoFilter ref="A1:I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46274</v>
      </c>
      <c r="B2" s="9" t="n">
        <v>5870</v>
      </c>
      <c r="C2" s="9" t="inlineStr">
        <is>
          <t>Carport Airport Munich</t>
        </is>
      </c>
      <c r="D2" s="9" t="inlineStr">
        <is>
          <t>Четвертий платіж</t>
        </is>
      </c>
      <c r="E2" s="11" t="n">
        <v>909825</v>
      </c>
      <c r="F2" s="11" t="n">
        <v>0</v>
      </c>
      <c r="G2" s="11">
        <f>E2-F2</f>
        <v/>
      </c>
    </row>
    <row r="3">
      <c r="A3" s="8" t="n">
        <v>46275</v>
      </c>
      <c r="B3" s="9" t="n">
        <v>7002</v>
      </c>
      <c r="C3" s="9" t="inlineStr">
        <is>
          <t>Фора SCP Млиново</t>
        </is>
      </c>
      <c r="D3" s="9" t="inlineStr">
        <is>
          <t>П'ятий платіж</t>
        </is>
      </c>
      <c r="E3" s="11" t="n">
        <v>573945</v>
      </c>
      <c r="F3" s="11" t="n">
        <v>0</v>
      </c>
      <c r="G3" s="11">
        <f>E3-F3</f>
        <v/>
      </c>
    </row>
    <row r="4">
      <c r="A4" s="8" t="n">
        <v>46274</v>
      </c>
      <c r="B4" s="9" t="n">
        <v>3456</v>
      </c>
      <c r="C4" s="9" t="inlineStr">
        <is>
          <t>А Підселання фундаменту</t>
        </is>
      </c>
      <c r="D4" s="9" t="inlineStr">
        <is>
          <t>Третій платіж</t>
        </is>
      </c>
      <c r="E4" s="11" t="n">
        <v>335974.68</v>
      </c>
      <c r="F4" s="11" t="n">
        <v>0</v>
      </c>
      <c r="G4" s="11">
        <f>E4-F4</f>
        <v/>
      </c>
    </row>
    <row r="5">
      <c r="A5" s="8" t="n">
        <v>46275</v>
      </c>
      <c r="B5" s="9" t="n">
        <v>7002</v>
      </c>
      <c r="C5" s="9" t="inlineStr">
        <is>
          <t>Фора SCP Млиново</t>
        </is>
      </c>
      <c r="D5" s="9" t="inlineStr">
        <is>
          <t>Шостий платіж (Допка)</t>
        </is>
      </c>
      <c r="E5" s="11" t="n">
        <v>257000</v>
      </c>
      <c r="F5" s="11" t="n">
        <v>0</v>
      </c>
      <c r="G5" s="11">
        <f>E5-F5</f>
        <v/>
      </c>
    </row>
    <row r="6">
      <c r="A6" s="8" t="n">
        <v>46260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170788</v>
      </c>
      <c r="G6" s="11">
        <f>E6-F6</f>
        <v/>
      </c>
    </row>
    <row r="7">
      <c r="D7" s="3" t="inlineStr">
        <is>
          <t>Разом</t>
        </is>
      </c>
      <c r="E7" s="13">
        <f>SUM(E2:E6)</f>
        <v/>
      </c>
      <c r="F7" s="13">
        <f>SUM(F2:F6)</f>
        <v/>
      </c>
      <c r="G7" s="13">
        <f>SUM(G2:G6)</f>
        <v/>
      </c>
    </row>
  </sheetData>
  <autoFilter ref="A1:G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2026-09-10T04:19:30Z</dcterms:created>
  <dcterms:modified xmlns:dcterms="http://purl.org/dc/terms/" xmlns:xsi="http://www.w3.org/2001/XMLSchema-instance" xsi:type="dcterms:W3CDTF">2026-09-10T04:19:30Z</dcterms:modified>
</cp:coreProperties>
</file>