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надходжень'!$A$1:$I$100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16.09.2026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2575500</v>
      </c>
      <c r="G10" s="10" t="n">
        <v>2575500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5151000</v>
      </c>
      <c r="G11" s="10" t="n">
        <v>5151000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1854360</v>
      </c>
      <c r="G39" s="10" t="n">
        <v>1854360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453288</v>
      </c>
      <c r="G44" s="10" t="n">
        <v>453288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8606805.9</v>
      </c>
      <c r="G54" s="10" t="n">
        <v>8606805.9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4053837</v>
      </c>
      <c r="G57" s="10" t="n">
        <v>4053837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4930794.75</v>
      </c>
      <c r="G66" s="10" t="n">
        <v>4930794.75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750758.25</v>
      </c>
      <c r="G67" s="10" t="n">
        <v>750758.25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557080.65</v>
      </c>
      <c r="G69" s="10" t="n">
        <v>557080.65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901425</v>
      </c>
      <c r="G70" s="10" t="n">
        <v>901425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2805028.56</v>
      </c>
      <c r="G78" s="10" t="n">
        <v>2805028.56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1556889.75</v>
      </c>
      <c r="G80" s="10" t="n">
        <v>1556889.75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46281</v>
      </c>
      <c r="B81" s="9" t="n">
        <v>8898</v>
      </c>
      <c r="C81" s="9" t="inlineStr">
        <is>
          <t>Григорівка №3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188043.75</v>
      </c>
      <c r="G81" s="10" t="n">
        <v>0</v>
      </c>
      <c r="H81" s="11">
        <f>F81-G81</f>
        <v/>
      </c>
      <c r="I81" s="9" t="inlineStr">
        <is>
          <t>прострочено</t>
        </is>
      </c>
      <c r="J81" t="inlineStr">
        <is>
          <t>2026-09</t>
        </is>
      </c>
      <c r="K81" s="12" t="inlineStr"/>
    </row>
    <row r="82">
      <c r="A82" s="8" t="n">
        <v>46283</v>
      </c>
      <c r="B82" s="9" t="n">
        <v>7002</v>
      </c>
      <c r="C82" s="9" t="inlineStr">
        <is>
          <t>Фора SCP Млиново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573945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7002</v>
      </c>
      <c r="C83" s="9" t="inlineStr">
        <is>
          <t>Фора SCP Млиново</t>
        </is>
      </c>
      <c r="D83" s="9" t="inlineStr">
        <is>
          <t>Донська</t>
        </is>
      </c>
      <c r="E83" s="9" t="inlineStr">
        <is>
          <t>Шостий платіж (Допка)</t>
        </is>
      </c>
      <c r="F83" s="10" t="n">
        <v>257000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7508</v>
      </c>
      <c r="C84" s="9" t="inlineStr">
        <is>
          <t>8602 Євген Весільна тераса Подорожнє</t>
        </is>
      </c>
      <c r="D84" s="9" t="inlineStr">
        <is>
          <t>Заянчковський</t>
        </is>
      </c>
      <c r="E84" s="9" t="inlineStr">
        <is>
          <t>Третій платіж</t>
        </is>
      </c>
      <c r="F84" s="10" t="n">
        <v>750999.9399999999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46286</v>
      </c>
      <c r="B85" s="9" t="n">
        <v>5910</v>
      </c>
      <c r="C85" s="9" t="inlineStr">
        <is>
          <t>SGM Brdovec, Хорватия</t>
        </is>
      </c>
      <c r="D85" s="9" t="inlineStr">
        <is>
          <t>Донська</t>
        </is>
      </c>
      <c r="E85" s="9" t="inlineStr">
        <is>
          <t>Другий платіж 60%</t>
        </is>
      </c>
      <c r="F85" s="10" t="n">
        <v>17213663.31</v>
      </c>
      <c r="G85" s="10" t="n">
        <v>7179515.31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>
        <is>
          <t>€334 181</t>
        </is>
      </c>
    </row>
    <row r="86">
      <c r="A86" s="8" t="n">
        <v>46286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Третій платіж</t>
        </is>
      </c>
      <c r="F86" s="10" t="n">
        <v>2868797.94</v>
      </c>
      <c r="G86" s="10" t="n">
        <v>455502.93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>
        <is>
          <t>€55 694</t>
        </is>
      </c>
    </row>
    <row r="87">
      <c r="A87" s="8" t="n">
        <v>46286</v>
      </c>
      <c r="B87" s="9" t="n">
        <v>7414</v>
      </c>
      <c r="C87" s="9" t="inlineStr">
        <is>
          <t>-26 ГШ Фундамент домобудування Володимир</t>
        </is>
      </c>
      <c r="D87" s="9" t="inlineStr">
        <is>
          <t>Заянчковський</t>
        </is>
      </c>
      <c r="E87" s="9" t="inlineStr">
        <is>
          <t>Третій платіж</t>
        </is>
      </c>
      <c r="F87" s="10" t="n">
        <v>44148.4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46293</v>
      </c>
      <c r="B88" s="9" t="n">
        <v>6352</v>
      </c>
      <c r="C88" s="9" t="inlineStr">
        <is>
          <t>АБМК SCP Blade 8PS</t>
        </is>
      </c>
      <c r="D88" s="9" t="inlineStr">
        <is>
          <t>Донська</t>
        </is>
      </c>
      <c r="E88" s="9" t="inlineStr">
        <is>
          <t>Третій платіж</t>
        </is>
      </c>
      <c r="F88" s="10" t="n">
        <v>1119237.26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46293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7244</v>
      </c>
      <c r="C90" s="9" t="inlineStr">
        <is>
          <t>В Модулекс модульна будівля Чернігів</t>
        </is>
      </c>
      <c r="D90" s="9" t="inlineStr">
        <is>
          <t>Заянчковський</t>
        </is>
      </c>
      <c r="E90" s="9" t="inlineStr">
        <is>
          <t>П'ятий платіж</t>
        </is>
      </c>
      <c r="F90" s="10" t="n">
        <v>132708.6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46295</v>
      </c>
      <c r="B91" s="9" t="n">
        <v>7414</v>
      </c>
      <c r="C91" s="9" t="inlineStr">
        <is>
          <t>-26 ГШ Фундамент домобудування Володимир</t>
        </is>
      </c>
      <c r="D91" s="9" t="inlineStr">
        <is>
          <t>Заянчковський</t>
        </is>
      </c>
      <c r="E91" s="9" t="inlineStr">
        <is>
          <t>Четвертий платіж</t>
        </is>
      </c>
      <c r="F91" s="10" t="n">
        <v>57497.5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46297</v>
      </c>
      <c r="B92" s="9" t="n">
        <v>4766</v>
      </c>
      <c r="C92" s="9" t="inlineStr">
        <is>
          <t>ALTECO Carport Model Taurus 280кВт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1263447.42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/>
    </row>
    <row r="93">
      <c r="A93" s="8" t="n">
        <v>46300</v>
      </c>
      <c r="B93" s="9" t="n">
        <v>6024</v>
      </c>
      <c r="C93" s="9" t="inlineStr">
        <is>
          <t>-26 ГШ с. Липовиця Черніг. обл. Модулекс</t>
        </is>
      </c>
      <c r="D93" s="9" t="inlineStr">
        <is>
          <t>Заянчковський</t>
        </is>
      </c>
      <c r="E93" s="9" t="inlineStr">
        <is>
          <t>Другий платіж</t>
        </is>
      </c>
      <c r="F93" s="10" t="n">
        <v>246402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Третій платіж</t>
        </is>
      </c>
      <c r="F94" s="10" t="n">
        <v>3999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46311</v>
      </c>
      <c r="B95" s="9" t="n">
        <v>8497</v>
      </c>
      <c r="C95" s="9" t="inlineStr">
        <is>
          <t>LSG 110MWt   50 points</t>
        </is>
      </c>
      <c r="D95" s="9" t="inlineStr">
        <is>
          <t>Іщук</t>
        </is>
      </c>
      <c r="E95" s="9" t="inlineStr">
        <is>
          <t>Другий платіж</t>
        </is>
      </c>
      <c r="F95" s="10" t="n">
        <v>518963.25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>
        <is>
          <t>€10 075</t>
        </is>
      </c>
    </row>
    <row r="96">
      <c r="A96" s="8" t="n">
        <v>46316</v>
      </c>
      <c r="B96" s="9" t="n">
        <v>6356</v>
      </c>
      <c r="C96" s="9" t="inlineStr">
        <is>
          <t>-26 SOLAR Наземні СЕС 3 Kirill Trokhin</t>
        </is>
      </c>
      <c r="D96" s="9" t="inlineStr">
        <is>
          <t>Хома</t>
        </is>
      </c>
      <c r="E96" s="9" t="inlineStr">
        <is>
          <t>Другий платіж</t>
        </is>
      </c>
      <c r="F96" s="10" t="n">
        <v>3309002.4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>
        <is>
          <t>€64 240</t>
        </is>
      </c>
    </row>
    <row r="97">
      <c r="A97" s="8" t="n">
        <v>46317</v>
      </c>
      <c r="B97" s="9" t="n">
        <v>7894</v>
      </c>
      <c r="C97" s="9" t="inlineStr">
        <is>
          <t>SCP Фора  Хотів</t>
        </is>
      </c>
      <c r="D97" s="9" t="inlineStr">
        <is>
          <t>Донська</t>
        </is>
      </c>
      <c r="E97" s="9" t="inlineStr">
        <is>
          <t>П'ятий платіж</t>
        </is>
      </c>
      <c r="F97" s="10" t="n">
        <v>737597.4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46321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П'ятий платіж</t>
        </is>
      </c>
      <c r="F98" s="10" t="n">
        <v>651792.28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46322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Третій платіж</t>
        </is>
      </c>
      <c r="F99" s="10" t="n">
        <v>661800.48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€12 848</t>
        </is>
      </c>
    </row>
    <row r="100">
      <c r="A100" s="8" t="n">
        <v>46343</v>
      </c>
      <c r="B100" s="9" t="n">
        <v>8238</v>
      </c>
      <c r="C100" s="9" t="inlineStr">
        <is>
          <t>А UTEM SOLAR  SCP Taurus 190PV</t>
        </is>
      </c>
      <c r="D100" s="9" t="inlineStr">
        <is>
          <t>Іщук</t>
        </is>
      </c>
      <c r="E100" s="9" t="inlineStr">
        <is>
          <t>Третій платіж</t>
        </is>
      </c>
      <c r="F100" s="10" t="n">
        <v>550000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2026-11</t>
        </is>
      </c>
      <c r="K100" s="12" t="inlineStr"/>
    </row>
    <row r="101">
      <c r="E101" s="3" t="inlineStr">
        <is>
          <t>Разом</t>
        </is>
      </c>
      <c r="F101" s="13">
        <f>SUM(F2:F100)</f>
        <v/>
      </c>
      <c r="G101" s="13">
        <f>SUM(G2:G100)</f>
        <v/>
      </c>
      <c r="H101" s="13">
        <f>SUM(H2:H100)</f>
        <v/>
      </c>
    </row>
  </sheetData>
  <autoFilter ref="A1:I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46281</v>
      </c>
      <c r="B2" s="9" t="n">
        <v>8898</v>
      </c>
      <c r="C2" s="9" t="inlineStr">
        <is>
          <t>Григорівка №3</t>
        </is>
      </c>
      <c r="D2" s="9" t="inlineStr">
        <is>
          <t>Третій платіж</t>
        </is>
      </c>
      <c r="E2" s="11" t="n">
        <v>188043.75</v>
      </c>
      <c r="F2" s="11" t="n">
        <v>0</v>
      </c>
      <c r="G2" s="11">
        <f>E2-F2</f>
        <v/>
      </c>
    </row>
    <row r="3">
      <c r="A3" s="8" t="n">
        <v>46260</v>
      </c>
      <c r="B3" s="9" t="n">
        <v>6406</v>
      </c>
      <c r="C3" s="9" t="inlineStr">
        <is>
          <t>Максим Яловий Чинадієво</t>
        </is>
      </c>
      <c r="D3" s="9" t="inlineStr">
        <is>
          <t>Другий платіж</t>
        </is>
      </c>
      <c r="E3" s="11" t="n">
        <v>218602</v>
      </c>
      <c r="F3" s="11" t="n">
        <v>170788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2026-09-16T04:44:02Z</dcterms:created>
  <dcterms:modified xmlns:dcterms="http://purl.org/dc/terms/" xmlns:xsi="http://www.w3.org/2001/XMLSchema-instance" xsi:type="dcterms:W3CDTF">2026-09-16T04:44:02Z</dcterms:modified>
</cp:coreProperties>
</file>