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надходжень'!$A$1:$I$97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04.09.2026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2596500</v>
      </c>
      <c r="G10" s="10" t="n">
        <v>2596500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5193000</v>
      </c>
      <c r="G11" s="10" t="n">
        <v>5193000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1869480</v>
      </c>
      <c r="G39" s="10" t="n">
        <v>1869480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456984</v>
      </c>
      <c r="G44" s="10" t="n">
        <v>456984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8676983.699999999</v>
      </c>
      <c r="G54" s="10" t="n">
        <v>8676983.699999999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4086891</v>
      </c>
      <c r="G57" s="10" t="n">
        <v>4086891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4970999.25</v>
      </c>
      <c r="G66" s="10" t="n">
        <v>4970999.25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756879.75</v>
      </c>
      <c r="G67" s="10" t="n">
        <v>756879.75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46253</v>
      </c>
      <c r="B68" s="9" t="n">
        <v>5904</v>
      </c>
      <c r="C68" s="9" t="inlineStr">
        <is>
          <t>SOLAR Карпорти шт. 10 шт. 0.03 Мвт SIA Realcom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561622.95</v>
      </c>
      <c r="G68" s="10" t="n">
        <v>561622.95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>
        <is>
          <t>€10 815</t>
        </is>
      </c>
    </row>
    <row r="69">
      <c r="A69" s="8" t="n">
        <v>46255</v>
      </c>
      <c r="B69" s="9" t="n">
        <v>7414</v>
      </c>
      <c r="C69" s="9" t="inlineStr">
        <is>
          <t>-26 ГШ Фундамент домобудування Володимир</t>
        </is>
      </c>
      <c r="D69" s="9" t="inlineStr">
        <is>
          <t>Заянчковський</t>
        </is>
      </c>
      <c r="E69" s="9" t="inlineStr">
        <is>
          <t>Авансовий платіж</t>
        </is>
      </c>
      <c r="F69" s="10" t="n">
        <v>94000</v>
      </c>
      <c r="G69" s="10" t="n">
        <v>94000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185968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185967.99</v>
      </c>
      <c r="G71" s="10" t="n">
        <v>185967.99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Четвертий платіж</t>
        </is>
      </c>
      <c r="F72" s="10" t="n">
        <v>737597.4</v>
      </c>
      <c r="G72" s="10" t="n">
        <v>737597.4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188043.75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6406</v>
      </c>
      <c r="C74" s="9" t="inlineStr">
        <is>
          <t>Максим Яловий Чинадієво</t>
        </is>
      </c>
      <c r="D74" s="9" t="inlineStr">
        <is>
          <t>Іщук</t>
        </is>
      </c>
      <c r="E74" s="9" t="inlineStr">
        <is>
          <t>Другий платіж</t>
        </is>
      </c>
      <c r="F74" s="10" t="n">
        <v>218602</v>
      </c>
      <c r="G74" s="10" t="n">
        <v>170788</v>
      </c>
      <c r="H74" s="11">
        <f>F74-G74</f>
        <v/>
      </c>
      <c r="I74" s="9" t="inlineStr">
        <is>
          <t>прострочено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8878</v>
      </c>
      <c r="C75" s="9" t="inlineStr">
        <is>
          <t>А ТОВ КОМПАНІЯ ВОЛЬТ СЕРВІС ГРУП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12823</v>
      </c>
      <c r="G75" s="10" t="n">
        <v>12823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46268</v>
      </c>
      <c r="B76" s="9" t="n">
        <v>6356</v>
      </c>
      <c r="C76" s="9" t="inlineStr">
        <is>
          <t>-26 SOLAR Наземні СЕС 3 Kirill Trokhin</t>
        </is>
      </c>
      <c r="D76" s="9" t="inlineStr">
        <is>
          <t>Хома</t>
        </is>
      </c>
      <c r="E76" s="9" t="inlineStr">
        <is>
          <t>Авансовий платіж</t>
        </is>
      </c>
      <c r="F76" s="10" t="n">
        <v>2827900.08</v>
      </c>
      <c r="G76" s="10" t="n">
        <v>0</v>
      </c>
      <c r="H76" s="11">
        <f>F76-G76</f>
        <v/>
      </c>
      <c r="I76" s="9" t="inlineStr">
        <is>
          <t>прострочено</t>
        </is>
      </c>
      <c r="J76" t="inlineStr">
        <is>
          <t>2026-09</t>
        </is>
      </c>
      <c r="K76" s="12" t="inlineStr">
        <is>
          <t>€54 456</t>
        </is>
      </c>
    </row>
    <row r="77">
      <c r="A77" s="8" t="n">
        <v>46269</v>
      </c>
      <c r="B77" s="9" t="n">
        <v>8497</v>
      </c>
      <c r="C77" s="9" t="inlineStr">
        <is>
          <t>LSG 110MWt   50 points</t>
        </is>
      </c>
      <c r="D77" s="9" t="inlineStr">
        <is>
          <t>Іщук</t>
        </is>
      </c>
      <c r="E77" s="9" t="inlineStr">
        <is>
          <t>Авансовий платіж</t>
        </is>
      </c>
      <c r="F77" s="10" t="n">
        <v>1569584.25</v>
      </c>
      <c r="G77" s="10" t="n">
        <v>0</v>
      </c>
      <c r="H77" s="11">
        <f>F77-G77</f>
        <v/>
      </c>
      <c r="I77" s="9" t="inlineStr">
        <is>
          <t>прострочено</t>
        </is>
      </c>
      <c r="J77" t="inlineStr">
        <is>
          <t>2026-09</t>
        </is>
      </c>
      <c r="K77" s="12" t="inlineStr">
        <is>
          <t>€30 225</t>
        </is>
      </c>
    </row>
    <row r="78">
      <c r="A78" s="8" t="n">
        <v>46272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Шостий платіж (Допка)</t>
        </is>
      </c>
      <c r="F78" s="10" t="n">
        <v>257000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46274</v>
      </c>
      <c r="B79" s="9" t="n">
        <v>3456</v>
      </c>
      <c r="C79" s="9" t="inlineStr">
        <is>
          <t>А Підселання фундаменту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335974.68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46274</v>
      </c>
      <c r="B80" s="9" t="n">
        <v>5870</v>
      </c>
      <c r="C80" s="9" t="inlineStr">
        <is>
          <t>Carport Airport Munich</t>
        </is>
      </c>
      <c r="D80" s="9" t="inlineStr">
        <is>
          <t>Хома</t>
        </is>
      </c>
      <c r="E80" s="9" t="inlineStr">
        <is>
          <t>Четвертий платіж</t>
        </is>
      </c>
      <c r="F80" s="10" t="n">
        <v>908775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€17 500</t>
        </is>
      </c>
    </row>
    <row r="81">
      <c r="A81" s="8" t="n">
        <v>46275</v>
      </c>
      <c r="B81" s="9" t="n">
        <v>4766</v>
      </c>
      <c r="C81" s="9" t="inlineStr">
        <is>
          <t>ALTECO Carport Model Taurus 280кВт</t>
        </is>
      </c>
      <c r="D81" s="9" t="inlineStr">
        <is>
          <t>Заянчковський</t>
        </is>
      </c>
      <c r="E81" s="9" t="inlineStr">
        <is>
          <t>П'ятий платіж</t>
        </is>
      </c>
      <c r="F81" s="10" t="n">
        <v>1263447.42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46277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46280</v>
      </c>
      <c r="B83" s="9" t="n">
        <v>8898</v>
      </c>
      <c r="C83" s="9" t="inlineStr">
        <is>
          <t>Григорівка №3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188043.75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46286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17354019.33</v>
      </c>
      <c r="G85" s="10" t="n">
        <v>7238055.33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2892189.42</v>
      </c>
      <c r="G86" s="10" t="n">
        <v>459216.99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46288</v>
      </c>
      <c r="B87" s="9" t="n">
        <v>7414</v>
      </c>
      <c r="C87" s="9" t="inlineStr">
        <is>
          <t>-26 ГШ Фундамент домобудування Володимир</t>
        </is>
      </c>
      <c r="D87" s="9" t="inlineStr">
        <is>
          <t>Заянчковський</t>
        </is>
      </c>
      <c r="E87" s="9" t="inlineStr">
        <is>
          <t>Другий платіж</t>
        </is>
      </c>
      <c r="F87" s="10" t="n">
        <v>57497.5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1119237.26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7244</v>
      </c>
      <c r="C90" s="9" t="inlineStr">
        <is>
          <t>В Модулекс модульна будівля Чернігів</t>
        </is>
      </c>
      <c r="D90" s="9" t="inlineStr">
        <is>
          <t>Заянчковський</t>
        </is>
      </c>
      <c r="E90" s="9" t="inlineStr">
        <is>
          <t>П'ятий платіж</t>
        </is>
      </c>
      <c r="F90" s="10" t="n">
        <v>132708.6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7414</v>
      </c>
      <c r="C91" s="9" t="inlineStr">
        <is>
          <t>-26 ГШ Фундамент домобудування Володимир</t>
        </is>
      </c>
      <c r="D91" s="9" t="inlineStr">
        <is>
          <t>Заянчковський</t>
        </is>
      </c>
      <c r="E91" s="9" t="inlineStr">
        <is>
          <t>Третій платіж</t>
        </is>
      </c>
      <c r="F91" s="10" t="n">
        <v>57497.5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46304</v>
      </c>
      <c r="B92" s="9" t="n">
        <v>6024</v>
      </c>
      <c r="C92" s="9" t="inlineStr">
        <is>
          <t>-26 ГШ с. Липовиця Черніг. обл. Модулекс</t>
        </is>
      </c>
      <c r="D92" s="9" t="inlineStr">
        <is>
          <t>Заянчковський</t>
        </is>
      </c>
      <c r="E92" s="9" t="inlineStr">
        <is>
          <t>Другий платіж</t>
        </is>
      </c>
      <c r="F92" s="10" t="n">
        <v>246402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46308</v>
      </c>
      <c r="B93" s="9" t="n">
        <v>7894</v>
      </c>
      <c r="C93" s="9" t="inlineStr">
        <is>
          <t>SCP Фора  Хотів</t>
        </is>
      </c>
      <c r="D93" s="9" t="inlineStr">
        <is>
          <t>Донська</t>
        </is>
      </c>
      <c r="E93" s="9" t="inlineStr">
        <is>
          <t>П'ятий платіж</t>
        </is>
      </c>
      <c r="F93" s="10" t="n">
        <v>737597.4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46311</v>
      </c>
      <c r="B94" s="9" t="n">
        <v>8497</v>
      </c>
      <c r="C94" s="9" t="inlineStr">
        <is>
          <t>LSG 110MWt   50 points</t>
        </is>
      </c>
      <c r="D94" s="9" t="inlineStr">
        <is>
          <t>Іщук</t>
        </is>
      </c>
      <c r="E94" s="9" t="inlineStr">
        <is>
          <t>Другий платіж</t>
        </is>
      </c>
      <c r="F94" s="10" t="n">
        <v>523194.75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>
        <is>
          <t>€10 075</t>
        </is>
      </c>
    </row>
    <row r="95">
      <c r="A95" s="8" t="n">
        <v>46316</v>
      </c>
      <c r="B95" s="9" t="n">
        <v>6356</v>
      </c>
      <c r="C95" s="9" t="inlineStr">
        <is>
          <t>-26 SOLAR Наземні СЕС 3 Kirill Trokhin</t>
        </is>
      </c>
      <c r="D95" s="9" t="inlineStr">
        <is>
          <t>Хома</t>
        </is>
      </c>
      <c r="E95" s="9" t="inlineStr">
        <is>
          <t>Другий платіж</t>
        </is>
      </c>
      <c r="F95" s="10" t="n">
        <v>3335983.2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€64 240</t>
        </is>
      </c>
    </row>
    <row r="96">
      <c r="A96" s="8" t="n">
        <v>46321</v>
      </c>
      <c r="B96" s="9" t="n">
        <v>6352</v>
      </c>
      <c r="C96" s="9" t="inlineStr">
        <is>
          <t>АБМК SCP Blade 8PS</t>
        </is>
      </c>
      <c r="D96" s="9" t="inlineStr">
        <is>
          <t>Донська</t>
        </is>
      </c>
      <c r="E96" s="9" t="inlineStr">
        <is>
          <t>П'ятий платіж</t>
        </is>
      </c>
      <c r="F96" s="10" t="n">
        <v>651792.28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46322</v>
      </c>
      <c r="B97" s="9" t="n">
        <v>6356</v>
      </c>
      <c r="C97" s="9" t="inlineStr">
        <is>
          <t>-26 SOLAR Наземні СЕС 3 Kirill Trokhin</t>
        </is>
      </c>
      <c r="D97" s="9" t="inlineStr">
        <is>
          <t>Хома</t>
        </is>
      </c>
      <c r="E97" s="9" t="inlineStr">
        <is>
          <t>Третій платіж</t>
        </is>
      </c>
      <c r="F97" s="10" t="n">
        <v>667196.64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>
        <is>
          <t>€12 848</t>
        </is>
      </c>
    </row>
    <row r="98">
      <c r="E98" s="3" t="inlineStr">
        <is>
          <t>Разом</t>
        </is>
      </c>
      <c r="F98" s="13">
        <f>SUM(F2:F97)</f>
        <v/>
      </c>
      <c r="G98" s="13">
        <f>SUM(G2:G97)</f>
        <v/>
      </c>
      <c r="H98" s="13">
        <f>SUM(H2:H97)</f>
        <v/>
      </c>
    </row>
  </sheetData>
  <autoFilter ref="A1:I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46268</v>
      </c>
      <c r="B2" s="9" t="n">
        <v>6356</v>
      </c>
      <c r="C2" s="9" t="inlineStr">
        <is>
          <t>-26 SOLAR Наземні СЕС 3 Kirill Trokhin</t>
        </is>
      </c>
      <c r="D2" s="9" t="inlineStr">
        <is>
          <t>Авансовий платіж</t>
        </is>
      </c>
      <c r="E2" s="11" t="n">
        <v>2827900.08</v>
      </c>
      <c r="F2" s="11" t="n">
        <v>0</v>
      </c>
      <c r="G2" s="11">
        <f>E2-F2</f>
        <v/>
      </c>
    </row>
    <row r="3">
      <c r="A3" s="8" t="n">
        <v>46269</v>
      </c>
      <c r="B3" s="9" t="n">
        <v>8497</v>
      </c>
      <c r="C3" s="9" t="inlineStr">
        <is>
          <t>LSG 110MWt   50 points</t>
        </is>
      </c>
      <c r="D3" s="9" t="inlineStr">
        <is>
          <t>Авансовий платіж</t>
        </is>
      </c>
      <c r="E3" s="11" t="n">
        <v>1569584.25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2026-09-04T04:19:58Z</dcterms:created>
  <dcterms:modified xmlns:dcterms="http://purl.org/dc/terms/" xmlns:xsi="http://www.w3.org/2001/XMLSchema-instance" xsi:type="dcterms:W3CDTF">2026-09-04T04:19:58Z</dcterms:modified>
</cp:coreProperties>
</file>