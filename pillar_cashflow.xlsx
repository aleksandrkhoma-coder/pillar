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надходжень'!$A$1:$I$103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28.09.2026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2557000</v>
      </c>
      <c r="G10" s="10" t="n">
        <v>2557000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5114000</v>
      </c>
      <c r="G11" s="10" t="n">
        <v>5114000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45700</v>
      </c>
      <c r="G15" s="10" t="n">
        <v>45700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1841040</v>
      </c>
      <c r="G39" s="10" t="n">
        <v>1841040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450032</v>
      </c>
      <c r="G44" s="10" t="n">
        <v>450032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8544982.6</v>
      </c>
      <c r="G54" s="10" t="n">
        <v>8544982.6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4024718</v>
      </c>
      <c r="G57" s="10" t="n">
        <v>4024718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4895376.5</v>
      </c>
      <c r="G66" s="10" t="n">
        <v>4895376.5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745365.5</v>
      </c>
      <c r="G67" s="10" t="n">
        <v>745365.5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46244</v>
      </c>
      <c r="B68" s="9" t="n">
        <v>6824</v>
      </c>
      <c r="C68" s="9" t="inlineStr">
        <is>
          <t>SOLAR Карпорти 2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149710</v>
      </c>
      <c r="G68" s="10" t="n">
        <v>149710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46253</v>
      </c>
      <c r="B69" s="9" t="n">
        <v>5904</v>
      </c>
      <c r="C69" s="9" t="inlineStr">
        <is>
          <t>SOLAR Карпорти шт. 10 шт. 0.03 Мвт SIA Realcom</t>
        </is>
      </c>
      <c r="D69" s="9" t="inlineStr">
        <is>
          <t>Хома</t>
        </is>
      </c>
      <c r="E69" s="9" t="inlineStr">
        <is>
          <t>Авансовий платіж</t>
        </is>
      </c>
      <c r="F69" s="10" t="n">
        <v>553079.1</v>
      </c>
      <c r="G69" s="10" t="n">
        <v>553079.1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>
        <is>
          <t>€10 815</t>
        </is>
      </c>
    </row>
    <row r="70">
      <c r="A70" s="8" t="n">
        <v>46254</v>
      </c>
      <c r="B70" s="9" t="n">
        <v>5870</v>
      </c>
      <c r="C70" s="9" t="inlineStr">
        <is>
          <t>Carport Airport Munich</t>
        </is>
      </c>
      <c r="D70" s="9" t="inlineStr">
        <is>
          <t>Хома</t>
        </is>
      </c>
      <c r="E70" s="9" t="inlineStr">
        <is>
          <t>Четвертий платіж</t>
        </is>
      </c>
      <c r="F70" s="10" t="n">
        <v>894950</v>
      </c>
      <c r="G70" s="10" t="n">
        <v>894950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>
        <is>
          <t>€17 500</t>
        </is>
      </c>
    </row>
    <row r="71">
      <c r="A71" s="8" t="n">
        <v>46255</v>
      </c>
      <c r="B71" s="9" t="n">
        <v>7414</v>
      </c>
      <c r="C71" s="9" t="inlineStr">
        <is>
          <t>-26 ГШ Фундамент домобудування Володимир</t>
        </is>
      </c>
      <c r="D71" s="9" t="inlineStr">
        <is>
          <t>Заянчковський</t>
        </is>
      </c>
      <c r="E71" s="9" t="inlineStr">
        <is>
          <t>Авансовий платіж</t>
        </is>
      </c>
      <c r="F71" s="10" t="n">
        <v>94000</v>
      </c>
      <c r="G71" s="10" t="n">
        <v>94000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185968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185967.99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46255</v>
      </c>
      <c r="B74" s="9" t="n">
        <v>7894</v>
      </c>
      <c r="C74" s="9" t="inlineStr">
        <is>
          <t>SCP Фора  Хотів</t>
        </is>
      </c>
      <c r="D74" s="9" t="inlineStr">
        <is>
          <t>Донська</t>
        </is>
      </c>
      <c r="E74" s="9" t="inlineStr">
        <is>
          <t>Четвертий платіж</t>
        </is>
      </c>
      <c r="F74" s="10" t="n">
        <v>737597.4</v>
      </c>
      <c r="G74" s="10" t="n">
        <v>737597.4</v>
      </c>
      <c r="H74" s="11">
        <f>F74-G74</f>
        <v/>
      </c>
      <c r="I74" s="9" t="inlineStr">
        <is>
          <t>отримано</t>
        </is>
      </c>
      <c r="J74" t="inlineStr">
        <is>
          <t>2026-08</t>
        </is>
      </c>
      <c r="K74" s="12" t="inlineStr"/>
    </row>
    <row r="75">
      <c r="A75" s="8" t="n">
        <v>46255</v>
      </c>
      <c r="B75" s="9" t="n">
        <v>8898</v>
      </c>
      <c r="C75" s="9" t="inlineStr">
        <is>
          <t>Григорівка №3</t>
        </is>
      </c>
      <c r="D75" s="9" t="inlineStr">
        <is>
          <t>Донська</t>
        </is>
      </c>
      <c r="E75" s="9" t="inlineStr">
        <is>
          <t>Другий платіж</t>
        </is>
      </c>
      <c r="F75" s="10" t="n">
        <v>188043.75</v>
      </c>
      <c r="G75" s="10" t="n">
        <v>188043.75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46260</v>
      </c>
      <c r="B76" s="9" t="n">
        <v>6406</v>
      </c>
      <c r="C76" s="9" t="inlineStr">
        <is>
          <t>Максим Яловий Чинадієво</t>
        </is>
      </c>
      <c r="D76" s="9" t="inlineStr">
        <is>
          <t>Іщук</t>
        </is>
      </c>
      <c r="E76" s="9" t="inlineStr">
        <is>
          <t>Другий платіж</t>
        </is>
      </c>
      <c r="F76" s="10" t="n">
        <v>218602</v>
      </c>
      <c r="G76" s="10" t="n">
        <v>170788</v>
      </c>
      <c r="H76" s="11">
        <f>F76-G76</f>
        <v/>
      </c>
      <c r="I76" s="9" t="inlineStr">
        <is>
          <t>прострочено</t>
        </is>
      </c>
      <c r="J76" t="inlineStr">
        <is>
          <t>2026-08</t>
        </is>
      </c>
      <c r="K76" s="12" t="inlineStr"/>
    </row>
    <row r="77">
      <c r="A77" s="8" t="n">
        <v>46265</v>
      </c>
      <c r="B77" s="9" t="n">
        <v>8878</v>
      </c>
      <c r="C77" s="9" t="inlineStr">
        <is>
          <t>А ТОВ КОМПАНІЯ ВОЛЬТ СЕРВІС ГРУП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12823</v>
      </c>
      <c r="G77" s="10" t="n">
        <v>12823</v>
      </c>
      <c r="H77" s="11">
        <f>F77-G77</f>
        <v/>
      </c>
      <c r="I77" s="9" t="inlineStr">
        <is>
          <t>отримано</t>
        </is>
      </c>
      <c r="J77" t="inlineStr">
        <is>
          <t>2026-08</t>
        </is>
      </c>
      <c r="K77" s="12" t="inlineStr"/>
    </row>
    <row r="78">
      <c r="A78" s="8" t="n">
        <v>46268</v>
      </c>
      <c r="B78" s="9" t="n">
        <v>6356</v>
      </c>
      <c r="C78" s="9" t="inlineStr">
        <is>
          <t>-26 SOLAR Наземні СЕС 3 Kirill Trokhin</t>
        </is>
      </c>
      <c r="D78" s="9" t="inlineStr">
        <is>
          <t>Хома</t>
        </is>
      </c>
      <c r="E78" s="9" t="inlineStr">
        <is>
          <t>Авансовий платіж</t>
        </is>
      </c>
      <c r="F78" s="10" t="n">
        <v>2784879.84</v>
      </c>
      <c r="G78" s="10" t="n">
        <v>2784879.84</v>
      </c>
      <c r="H78" s="11">
        <f>F78-G78</f>
        <v/>
      </c>
      <c r="I78" s="9" t="inlineStr">
        <is>
          <t>отримано</t>
        </is>
      </c>
      <c r="J78" t="inlineStr">
        <is>
          <t>2026-09</t>
        </is>
      </c>
      <c r="K78" s="12" t="inlineStr">
        <is>
          <t>€54 456</t>
        </is>
      </c>
    </row>
    <row r="79">
      <c r="A79" s="8" t="n">
        <v>46268</v>
      </c>
      <c r="B79" s="9" t="n">
        <v>7414</v>
      </c>
      <c r="C79" s="9" t="inlineStr">
        <is>
          <t>-26 ГШ Фундамент домобудування Володимир</t>
        </is>
      </c>
      <c r="D79" s="9" t="inlineStr">
        <is>
          <t>Заянчковський</t>
        </is>
      </c>
      <c r="E79" s="9" t="inlineStr">
        <is>
          <t>Другий платіж</t>
        </is>
      </c>
      <c r="F79" s="10" t="n">
        <v>13349.1</v>
      </c>
      <c r="G79" s="10" t="n">
        <v>13349.1</v>
      </c>
      <c r="H79" s="11">
        <f>F79-G79</f>
        <v/>
      </c>
      <c r="I79" s="9" t="inlineStr">
        <is>
          <t>отримано</t>
        </is>
      </c>
      <c r="J79" t="inlineStr">
        <is>
          <t>2026-09</t>
        </is>
      </c>
      <c r="K79" s="12" t="inlineStr"/>
    </row>
    <row r="80">
      <c r="A80" s="8" t="n">
        <v>46272</v>
      </c>
      <c r="B80" s="9" t="n">
        <v>8497</v>
      </c>
      <c r="C80" s="9" t="inlineStr">
        <is>
          <t>LSG 110MWt   50 points</t>
        </is>
      </c>
      <c r="D80" s="9" t="inlineStr">
        <is>
          <t>Іщук</t>
        </is>
      </c>
      <c r="E80" s="9" t="inlineStr">
        <is>
          <t>Авансовий платіж</t>
        </is>
      </c>
      <c r="F80" s="10" t="n">
        <v>1545706.5</v>
      </c>
      <c r="G80" s="10" t="n">
        <v>1545706.5</v>
      </c>
      <c r="H80" s="11">
        <f>F80-G80</f>
        <v/>
      </c>
      <c r="I80" s="9" t="inlineStr">
        <is>
          <t>отримано</t>
        </is>
      </c>
      <c r="J80" t="inlineStr">
        <is>
          <t>2026-09</t>
        </is>
      </c>
      <c r="K80" s="12" t="inlineStr">
        <is>
          <t>€30 225</t>
        </is>
      </c>
    </row>
    <row r="81">
      <c r="A81" s="8" t="n">
        <v>46275</v>
      </c>
      <c r="B81" s="9" t="n">
        <v>8304</v>
      </c>
      <c r="C81" s="9" t="inlineStr">
        <is>
          <t>-26 ГШ Фундамент домобудування Валерій Гибаленко</t>
        </is>
      </c>
      <c r="D81" s="9" t="inlineStr">
        <is>
          <t>Донська</t>
        </is>
      </c>
      <c r="E81" s="9" t="inlineStr">
        <is>
          <t>Авансовий платіж</t>
        </is>
      </c>
      <c r="F81" s="10" t="n">
        <v>117310</v>
      </c>
      <c r="G81" s="10" t="n">
        <v>117310</v>
      </c>
      <c r="H81" s="11">
        <f>F81-G81</f>
        <v/>
      </c>
      <c r="I81" s="9" t="inlineStr">
        <is>
          <t>отримано</t>
        </is>
      </c>
      <c r="J81" t="inlineStr">
        <is>
          <t>2026-09</t>
        </is>
      </c>
      <c r="K81" s="12" t="inlineStr"/>
    </row>
    <row r="82">
      <c r="A82" s="8" t="n">
        <v>46275</v>
      </c>
      <c r="B82" s="9" t="n">
        <v>8304</v>
      </c>
      <c r="C82" s="9" t="inlineStr">
        <is>
          <t>-26 ГШ Фундамент домобудування Валерій Гибаленко</t>
        </is>
      </c>
      <c r="D82" s="9" t="inlineStr">
        <is>
          <t>Донська</t>
        </is>
      </c>
      <c r="E82" s="9" t="inlineStr">
        <is>
          <t>Другий платіж</t>
        </is>
      </c>
      <c r="F82" s="10" t="n">
        <v>55245</v>
      </c>
      <c r="G82" s="10" t="n">
        <v>55245</v>
      </c>
      <c r="H82" s="11">
        <f>F82-G82</f>
        <v/>
      </c>
      <c r="I82" s="9" t="inlineStr">
        <is>
          <t>отримано</t>
        </is>
      </c>
      <c r="J82" t="inlineStr">
        <is>
          <t>2026-09</t>
        </is>
      </c>
      <c r="K82" s="12" t="inlineStr"/>
    </row>
    <row r="83">
      <c r="A83" s="8" t="n">
        <v>46275</v>
      </c>
      <c r="B83" s="9" t="n">
        <v>8304</v>
      </c>
      <c r="C83" s="9" t="inlineStr">
        <is>
          <t>-26 ГШ Фундамент домобудування Валерій Гибаленко</t>
        </is>
      </c>
      <c r="D83" s="9" t="inlineStr">
        <is>
          <t>Донська</t>
        </is>
      </c>
      <c r="E83" s="9" t="inlineStr">
        <is>
          <t>Третій платіж</t>
        </is>
      </c>
      <c r="F83" s="10" t="n">
        <v>55245</v>
      </c>
      <c r="G83" s="10" t="n">
        <v>55245</v>
      </c>
      <c r="H83" s="11">
        <f>F83-G83</f>
        <v/>
      </c>
      <c r="I83" s="9" t="inlineStr">
        <is>
          <t>отримано</t>
        </is>
      </c>
      <c r="J83" t="inlineStr">
        <is>
          <t>2026-09</t>
        </is>
      </c>
      <c r="K83" s="12" t="inlineStr"/>
    </row>
    <row r="84">
      <c r="A84" s="8" t="n">
        <v>46287</v>
      </c>
      <c r="B84" s="9" t="n">
        <v>8898</v>
      </c>
      <c r="C84" s="9" t="inlineStr">
        <is>
          <t>Григорівка №3</t>
        </is>
      </c>
      <c r="D84" s="9" t="inlineStr">
        <is>
          <t>Донська</t>
        </is>
      </c>
      <c r="E84" s="9" t="inlineStr">
        <is>
          <t>Третій платіж</t>
        </is>
      </c>
      <c r="F84" s="10" t="n">
        <v>188043.75</v>
      </c>
      <c r="G84" s="10" t="n">
        <v>188043.75</v>
      </c>
      <c r="H84" s="11">
        <f>F84-G84</f>
        <v/>
      </c>
      <c r="I84" s="9" t="inlineStr">
        <is>
          <t>отримано</t>
        </is>
      </c>
      <c r="J84" t="inlineStr">
        <is>
          <t>2026-09</t>
        </is>
      </c>
      <c r="K84" s="12" t="inlineStr"/>
    </row>
    <row r="85">
      <c r="A85" s="8" t="n">
        <v>46288</v>
      </c>
      <c r="B85" s="9" t="n">
        <v>7002</v>
      </c>
      <c r="C85" s="9" t="inlineStr">
        <is>
          <t>Фора SCP Млиново</t>
        </is>
      </c>
      <c r="D85" s="9" t="inlineStr">
        <is>
          <t>Донська</t>
        </is>
      </c>
      <c r="E85" s="9" t="inlineStr">
        <is>
          <t>П'ятий платіж</t>
        </is>
      </c>
      <c r="F85" s="10" t="n">
        <v>492945</v>
      </c>
      <c r="G85" s="10" t="n">
        <v>492945</v>
      </c>
      <c r="H85" s="11">
        <f>F85-G85</f>
        <v/>
      </c>
      <c r="I85" s="9" t="inlineStr">
        <is>
          <t>отримано</t>
        </is>
      </c>
      <c r="J85" t="inlineStr">
        <is>
          <t>2026-09</t>
        </is>
      </c>
      <c r="K85" s="12" t="inlineStr"/>
    </row>
    <row r="86">
      <c r="A86" s="8" t="n">
        <v>46288</v>
      </c>
      <c r="B86" s="9" t="n">
        <v>7002</v>
      </c>
      <c r="C86" s="9" t="inlineStr">
        <is>
          <t>Фора SCP Млиново</t>
        </is>
      </c>
      <c r="D86" s="9" t="inlineStr">
        <is>
          <t>Донська</t>
        </is>
      </c>
      <c r="E86" s="9" t="inlineStr">
        <is>
          <t>Шостий платіж (Допка)</t>
        </is>
      </c>
      <c r="F86" s="10" t="n">
        <v>338000</v>
      </c>
      <c r="G86" s="10" t="n">
        <v>338000</v>
      </c>
      <c r="H86" s="11">
        <f>F86-G86</f>
        <v/>
      </c>
      <c r="I86" s="9" t="inlineStr">
        <is>
          <t>отримано</t>
        </is>
      </c>
      <c r="J86" t="inlineStr">
        <is>
          <t>2026-09</t>
        </is>
      </c>
      <c r="K86" s="12" t="inlineStr"/>
    </row>
    <row r="87">
      <c r="A87" s="8" t="n">
        <v>46290</v>
      </c>
      <c r="B87" s="9" t="n">
        <v>8238</v>
      </c>
      <c r="C87" s="9" t="inlineStr">
        <is>
          <t>А UTEM SOLAR  SCP Taurus 190PV</t>
        </is>
      </c>
      <c r="D87" s="9" t="inlineStr">
        <is>
          <t>Іщук</t>
        </is>
      </c>
      <c r="E87" s="9" t="inlineStr">
        <is>
          <t>Третій платіж</t>
        </is>
      </c>
      <c r="F87" s="10" t="n">
        <v>12900</v>
      </c>
      <c r="G87" s="10" t="n">
        <v>12900</v>
      </c>
      <c r="H87" s="11">
        <f>F87-G87</f>
        <v/>
      </c>
      <c r="I87" s="9" t="inlineStr">
        <is>
          <t>отримано</t>
        </is>
      </c>
      <c r="J87" t="inlineStr">
        <is>
          <t>2026-09</t>
        </is>
      </c>
      <c r="K87" s="12" t="inlineStr"/>
    </row>
    <row r="88">
      <c r="A88" s="8" t="n">
        <v>46295</v>
      </c>
      <c r="B88" s="9" t="n">
        <v>7244</v>
      </c>
      <c r="C88" s="9" t="inlineStr">
        <is>
          <t>В Модулекс модульна будівля Чернігів</t>
        </is>
      </c>
      <c r="D88" s="9" t="inlineStr">
        <is>
          <t>Заянчковський</t>
        </is>
      </c>
      <c r="E88" s="9" t="inlineStr">
        <is>
          <t>П'ятий платіж</t>
        </is>
      </c>
      <c r="F88" s="10" t="n">
        <v>132708.6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46295</v>
      </c>
      <c r="B89" s="9" t="n">
        <v>7414</v>
      </c>
      <c r="C89" s="9" t="inlineStr">
        <is>
          <t>-26 ГШ Фундамент домобудування Володимир</t>
        </is>
      </c>
      <c r="D89" s="9" t="inlineStr">
        <is>
          <t>Заянчковський</t>
        </is>
      </c>
      <c r="E89" s="9" t="inlineStr">
        <is>
          <t>Третій платіж</t>
        </is>
      </c>
      <c r="F89" s="10" t="n">
        <v>44148.4</v>
      </c>
      <c r="G89" s="10" t="n">
        <v>0</v>
      </c>
      <c r="H89" s="11">
        <f>F89-G89</f>
        <v/>
      </c>
      <c r="I89" s="9" t="inlineStr">
        <is>
          <t>очікується</t>
        </is>
      </c>
      <c r="J89" t="inlineStr">
        <is>
          <t>2026-09</t>
        </is>
      </c>
      <c r="K89" s="12" t="inlineStr"/>
    </row>
    <row r="90">
      <c r="A90" s="8" t="n">
        <v>46295</v>
      </c>
      <c r="B90" s="9" t="n">
        <v>7414</v>
      </c>
      <c r="C90" s="9" t="inlineStr">
        <is>
          <t>-26 ГШ Фундамент домобудування Володимир</t>
        </is>
      </c>
      <c r="D90" s="9" t="inlineStr">
        <is>
          <t>Заянчковський</t>
        </is>
      </c>
      <c r="E90" s="9" t="inlineStr">
        <is>
          <t>Четвертий платіж</t>
        </is>
      </c>
      <c r="F90" s="10" t="n">
        <v>57497.5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2026-09</t>
        </is>
      </c>
      <c r="K90" s="12" t="inlineStr"/>
    </row>
    <row r="91">
      <c r="A91" s="8" t="n">
        <v>46297</v>
      </c>
      <c r="B91" s="9" t="n">
        <v>4766</v>
      </c>
      <c r="C91" s="9" t="inlineStr">
        <is>
          <t>ALTECO Carport Model Taurus 280кВт</t>
        </is>
      </c>
      <c r="D91" s="9" t="inlineStr">
        <is>
          <t>Заянчковський</t>
        </is>
      </c>
      <c r="E91" s="9" t="inlineStr">
        <is>
          <t>П'ятий платіж</t>
        </is>
      </c>
      <c r="F91" s="10" t="n">
        <v>1263447.42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46300</v>
      </c>
      <c r="B92" s="9" t="n">
        <v>5910</v>
      </c>
      <c r="C92" s="9" t="inlineStr">
        <is>
          <t>SGM Brdovec, Хорватия</t>
        </is>
      </c>
      <c r="D92" s="9" t="inlineStr">
        <is>
          <t>Донська</t>
        </is>
      </c>
      <c r="E92" s="9" t="inlineStr">
        <is>
          <t>Другий платіж 60%</t>
        </is>
      </c>
      <c r="F92" s="10" t="n">
        <v>17090016.34</v>
      </c>
      <c r="G92" s="10" t="n">
        <v>15844757.34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>
        <is>
          <t>€334 181</t>
        </is>
      </c>
    </row>
    <row r="93">
      <c r="A93" s="8" t="n">
        <v>46300</v>
      </c>
      <c r="B93" s="9" t="n">
        <v>5910</v>
      </c>
      <c r="C93" s="9" t="inlineStr">
        <is>
          <t>SGM Brdovec, Хорватия</t>
        </is>
      </c>
      <c r="D93" s="9" t="inlineStr">
        <is>
          <t>Донська</t>
        </is>
      </c>
      <c r="E93" s="9" t="inlineStr">
        <is>
          <t>Третій платіж</t>
        </is>
      </c>
      <c r="F93" s="10" t="n">
        <v>2848191.16</v>
      </c>
      <c r="G93" s="10" t="n">
        <v>1358329.54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>
        <is>
          <t>€55 694</t>
        </is>
      </c>
    </row>
    <row r="94">
      <c r="A94" s="8" t="n">
        <v>46300</v>
      </c>
      <c r="B94" s="9" t="n">
        <v>6024</v>
      </c>
      <c r="C94" s="9" t="inlineStr">
        <is>
          <t>-26 ГШ с. Липовиця Черніг. обл. Модулекс</t>
        </is>
      </c>
      <c r="D94" s="9" t="inlineStr">
        <is>
          <t>Заянчковський</t>
        </is>
      </c>
      <c r="E94" s="9" t="inlineStr">
        <is>
          <t>Другий платіж</t>
        </is>
      </c>
      <c r="F94" s="10" t="n">
        <v>246402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A95" s="8" t="n">
        <v>46300</v>
      </c>
      <c r="B95" s="9" t="n">
        <v>6024</v>
      </c>
      <c r="C95" s="9" t="inlineStr">
        <is>
          <t>-26 ГШ с. Липовиця Черніг. обл. Модулекс</t>
        </is>
      </c>
      <c r="D95" s="9" t="inlineStr">
        <is>
          <t>Заянчковський</t>
        </is>
      </c>
      <c r="E95" s="9" t="inlineStr">
        <is>
          <t>Третій платіж</t>
        </is>
      </c>
      <c r="F95" s="10" t="n">
        <v>3999</v>
      </c>
      <c r="G95" s="10" t="n">
        <v>0</v>
      </c>
      <c r="H95" s="11">
        <f>F95-G95</f>
        <v/>
      </c>
      <c r="I95" s="9" t="inlineStr">
        <is>
          <t>очікується</t>
        </is>
      </c>
      <c r="J95" t="inlineStr">
        <is>
          <t>2026-10</t>
        </is>
      </c>
      <c r="K95" s="12" t="inlineStr"/>
    </row>
    <row r="96">
      <c r="A96" s="8" t="n">
        <v>46310</v>
      </c>
      <c r="B96" s="9" t="n">
        <v>6352</v>
      </c>
      <c r="C96" s="9" t="inlineStr">
        <is>
          <t>АБМК SCP Blade 8PS</t>
        </is>
      </c>
      <c r="D96" s="9" t="inlineStr">
        <is>
          <t>Донська</t>
        </is>
      </c>
      <c r="E96" s="9" t="inlineStr">
        <is>
          <t>Третій платіж</t>
        </is>
      </c>
      <c r="F96" s="10" t="n">
        <v>1119237.26</v>
      </c>
      <c r="G96" s="10" t="n">
        <v>0</v>
      </c>
      <c r="H96" s="11">
        <f>F96-G96</f>
        <v/>
      </c>
      <c r="I96" s="9" t="inlineStr">
        <is>
          <t>очікується</t>
        </is>
      </c>
      <c r="J96" t="inlineStr">
        <is>
          <t>2026-10</t>
        </is>
      </c>
      <c r="K96" s="12" t="inlineStr"/>
    </row>
    <row r="97">
      <c r="A97" s="8" t="n">
        <v>46310</v>
      </c>
      <c r="B97" s="9" t="n">
        <v>6352</v>
      </c>
      <c r="C97" s="9" t="inlineStr">
        <is>
          <t>АБМК SCP Blade 8PS</t>
        </is>
      </c>
      <c r="D97" s="9" t="inlineStr">
        <is>
          <t>Донська</t>
        </is>
      </c>
      <c r="E97" s="9" t="inlineStr">
        <is>
          <t>Четвертий платіж</t>
        </is>
      </c>
      <c r="F97" s="10" t="n">
        <v>371982.96</v>
      </c>
      <c r="G97" s="10" t="n">
        <v>0</v>
      </c>
      <c r="H97" s="11">
        <f>F97-G97</f>
        <v/>
      </c>
      <c r="I97" s="9" t="inlineStr">
        <is>
          <t>очікується</t>
        </is>
      </c>
      <c r="J97" t="inlineStr">
        <is>
          <t>2026-10</t>
        </is>
      </c>
      <c r="K97" s="12" t="inlineStr"/>
    </row>
    <row r="98">
      <c r="A98" s="8" t="n">
        <v>46311</v>
      </c>
      <c r="B98" s="9" t="n">
        <v>8497</v>
      </c>
      <c r="C98" s="9" t="inlineStr">
        <is>
          <t>LSG 110MWt   50 points</t>
        </is>
      </c>
      <c r="D98" s="9" t="inlineStr">
        <is>
          <t>Іщук</t>
        </is>
      </c>
      <c r="E98" s="9" t="inlineStr">
        <is>
          <t>Другий платіж</t>
        </is>
      </c>
      <c r="F98" s="10" t="n">
        <v>515235.5</v>
      </c>
      <c r="G98" s="10" t="n">
        <v>0</v>
      </c>
      <c r="H98" s="11">
        <f>F98-G98</f>
        <v/>
      </c>
      <c r="I98" s="9" t="inlineStr">
        <is>
          <t>очікується</t>
        </is>
      </c>
      <c r="J98" t="inlineStr">
        <is>
          <t>2026-10</t>
        </is>
      </c>
      <c r="K98" s="12" t="inlineStr">
        <is>
          <t>€10 075</t>
        </is>
      </c>
    </row>
    <row r="99">
      <c r="A99" s="8" t="n">
        <v>46316</v>
      </c>
      <c r="B99" s="9" t="n">
        <v>6356</v>
      </c>
      <c r="C99" s="9" t="inlineStr">
        <is>
          <t>-26 SOLAR Наземні СЕС 3 Kirill Trokhin</t>
        </is>
      </c>
      <c r="D99" s="9" t="inlineStr">
        <is>
          <t>Хома</t>
        </is>
      </c>
      <c r="E99" s="9" t="inlineStr">
        <is>
          <t>Другий платіж</t>
        </is>
      </c>
      <c r="F99" s="10" t="n">
        <v>3285233.6</v>
      </c>
      <c r="G99" s="10" t="n">
        <v>0</v>
      </c>
      <c r="H99" s="11">
        <f>F99-G99</f>
        <v/>
      </c>
      <c r="I99" s="9" t="inlineStr">
        <is>
          <t>очікується</t>
        </is>
      </c>
      <c r="J99" t="inlineStr">
        <is>
          <t>2026-10</t>
        </is>
      </c>
      <c r="K99" s="12" t="inlineStr">
        <is>
          <t>€64 240</t>
        </is>
      </c>
    </row>
    <row r="100">
      <c r="A100" s="8" t="n">
        <v>46321</v>
      </c>
      <c r="B100" s="9" t="n">
        <v>6352</v>
      </c>
      <c r="C100" s="9" t="inlineStr">
        <is>
          <t>АБМК SCP Blade 8PS</t>
        </is>
      </c>
      <c r="D100" s="9" t="inlineStr">
        <is>
          <t>Донська</t>
        </is>
      </c>
      <c r="E100" s="9" t="inlineStr">
        <is>
          <t>П'ятий платіж</t>
        </is>
      </c>
      <c r="F100" s="10" t="n">
        <v>651792.28</v>
      </c>
      <c r="G100" s="10" t="n">
        <v>0</v>
      </c>
      <c r="H100" s="11">
        <f>F100-G100</f>
        <v/>
      </c>
      <c r="I100" s="9" t="inlineStr">
        <is>
          <t>очікується</t>
        </is>
      </c>
      <c r="J100" t="inlineStr">
        <is>
          <t>2026-10</t>
        </is>
      </c>
      <c r="K100" s="12" t="inlineStr"/>
    </row>
    <row r="101">
      <c r="A101" s="8" t="n">
        <v>46322</v>
      </c>
      <c r="B101" s="9" t="n">
        <v>6356</v>
      </c>
      <c r="C101" s="9" t="inlineStr">
        <is>
          <t>-26 SOLAR Наземні СЕС 3 Kirill Trokhin</t>
        </is>
      </c>
      <c r="D101" s="9" t="inlineStr">
        <is>
          <t>Хома</t>
        </is>
      </c>
      <c r="E101" s="9" t="inlineStr">
        <is>
          <t>Третій платіж</t>
        </is>
      </c>
      <c r="F101" s="10" t="n">
        <v>657046.72</v>
      </c>
      <c r="G101" s="10" t="n">
        <v>0</v>
      </c>
      <c r="H101" s="11">
        <f>F101-G101</f>
        <v/>
      </c>
      <c r="I101" s="9" t="inlineStr">
        <is>
          <t>очікується</t>
        </is>
      </c>
      <c r="J101" t="inlineStr">
        <is>
          <t>2026-10</t>
        </is>
      </c>
      <c r="K101" s="12" t="inlineStr">
        <is>
          <t>€12 848</t>
        </is>
      </c>
    </row>
    <row r="102">
      <c r="A102" s="8" t="n">
        <v>46322</v>
      </c>
      <c r="B102" s="9" t="n">
        <v>7894</v>
      </c>
      <c r="C102" s="9" t="inlineStr">
        <is>
          <t>SCP Фора  Хотів</t>
        </is>
      </c>
      <c r="D102" s="9" t="inlineStr">
        <is>
          <t>Донська</t>
        </is>
      </c>
      <c r="E102" s="9" t="inlineStr">
        <is>
          <t>П'ятий платіж</t>
        </is>
      </c>
      <c r="F102" s="10" t="n">
        <v>737597.4</v>
      </c>
      <c r="G102" s="10" t="n">
        <v>0</v>
      </c>
      <c r="H102" s="11">
        <f>F102-G102</f>
        <v/>
      </c>
      <c r="I102" s="9" t="inlineStr">
        <is>
          <t>очікується</t>
        </is>
      </c>
      <c r="J102" t="inlineStr">
        <is>
          <t>2026-10</t>
        </is>
      </c>
      <c r="K102" s="12" t="inlineStr"/>
    </row>
    <row r="103">
      <c r="A103" s="8" t="n">
        <v>46330</v>
      </c>
      <c r="B103" s="9" t="n">
        <v>7508</v>
      </c>
      <c r="C103" s="9" t="inlineStr">
        <is>
          <t>8602 Євген Весільна тераса Подорожнє</t>
        </is>
      </c>
      <c r="D103" s="9" t="inlineStr">
        <is>
          <t>Заянчковський</t>
        </is>
      </c>
      <c r="E103" s="9" t="inlineStr">
        <is>
          <t>Третій платіж</t>
        </is>
      </c>
      <c r="F103" s="10" t="n">
        <v>750999.9399999999</v>
      </c>
      <c r="G103" s="10" t="n">
        <v>0</v>
      </c>
      <c r="H103" s="11">
        <f>F103-G103</f>
        <v/>
      </c>
      <c r="I103" s="9" t="inlineStr">
        <is>
          <t>очікується</t>
        </is>
      </c>
      <c r="J103" t="inlineStr">
        <is>
          <t>2026-11</t>
        </is>
      </c>
      <c r="K103" s="12" t="inlineStr"/>
    </row>
    <row r="104">
      <c r="E104" s="3" t="inlineStr">
        <is>
          <t>Разом</t>
        </is>
      </c>
      <c r="F104" s="13">
        <f>SUM(F2:F103)</f>
        <v/>
      </c>
      <c r="G104" s="13">
        <f>SUM(G2:G103)</f>
        <v/>
      </c>
      <c r="H104" s="13">
        <f>SUM(H2:H103)</f>
        <v/>
      </c>
    </row>
  </sheetData>
  <autoFilter ref="A1:I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9" t="inlineStr">
        <is>
          <t>лис 2026</t>
        </is>
      </c>
      <c r="B9" s="11">
        <f>SUMIF('Графік надходжень'!J:J,"2026-11",'Графік надходжень'!F:F)</f>
        <v/>
      </c>
      <c r="C9" s="11">
        <f>SUMIF('Графік надходжень'!J:J,"2026-11",'Графік надходжень'!G:G)</f>
        <v/>
      </c>
      <c r="D9" s="11">
        <f>B9-C9</f>
        <v/>
      </c>
      <c r="E9" s="14">
        <f>IF(B9=0,0,C9/B9)</f>
        <v/>
      </c>
    </row>
    <row r="10">
      <c r="A10" s="3" t="inlineStr">
        <is>
          <t>Разом</t>
        </is>
      </c>
      <c r="B10" s="13">
        <f>SUM(B2:B9)</f>
        <v/>
      </c>
      <c r="C10" s="13">
        <f>SUM(C2:C9)</f>
        <v/>
      </c>
      <c r="D10" s="13">
        <f>SUM(D2:D9)</f>
        <v/>
      </c>
      <c r="E10" s="15">
        <f>IF(B10=0,0,C10/B10)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2026-09-28T07:15:36Z</dcterms:created>
  <dcterms:modified xmlns:dcterms="http://purl.org/dc/terms/" xmlns:xsi="http://www.w3.org/2001/XMLSchema-instance" xsi:type="dcterms:W3CDTF">2026-09-28T07:15:36Z</dcterms:modified>
</cp:coreProperties>
</file>