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надходжень'!$A$1:$I$68</definedName>
    <definedName name="_xlnm._FilterDatabase" localSheetId="3" hidden="1">'Прострочені'!$A$1:$G$9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15.07.2026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  <c r="K2" s="12" t="inlineStr"/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  <c r="K5" s="12" t="inlineStr"/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  <c r="K6" s="12" t="inlineStr"/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  <c r="K7" s="12" t="inlineStr"/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/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/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2600000</v>
      </c>
      <c r="G12" s="10" t="n">
        <v>2600000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5200000</v>
      </c>
      <c r="G13" s="10" t="n">
        <v>5200000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46165</v>
      </c>
      <c r="B19" s="9" t="n">
        <v>6704</v>
      </c>
      <c r="C19" s="9" t="inlineStr">
        <is>
          <t>SCP Taurus 236PS</t>
        </is>
      </c>
      <c r="D19" s="9" t="inlineStr">
        <is>
          <t>Александров</t>
        </is>
      </c>
      <c r="E19" s="9" t="inlineStr">
        <is>
          <t>Третій платіж</t>
        </is>
      </c>
      <c r="F19" s="10" t="n">
        <v>4524000</v>
      </c>
      <c r="G19" s="10" t="n">
        <v>0</v>
      </c>
      <c r="H19" s="11">
        <f>F19-G19</f>
        <v/>
      </c>
      <c r="I19" s="9" t="inlineStr">
        <is>
          <t>прострочено</t>
        </is>
      </c>
      <c r="J19" t="inlineStr">
        <is>
          <t>2026-05</t>
        </is>
      </c>
      <c r="K19" s="12" t="inlineStr"/>
    </row>
    <row r="20">
      <c r="A20" s="8" t="n">
        <v>46167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Авансовий платіж</t>
        </is>
      </c>
      <c r="F20" s="10" t="n">
        <v>1245999.94</v>
      </c>
      <c r="G20" s="10" t="n">
        <v>1245999.94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46168</v>
      </c>
      <c r="B21" s="9" t="n">
        <v>7508</v>
      </c>
      <c r="C21" s="9" t="inlineStr">
        <is>
          <t>8602 Євген Весільна тераса Подорожнє</t>
        </is>
      </c>
      <c r="D21" s="9" t="inlineStr">
        <is>
          <t>Заянчковський</t>
        </is>
      </c>
      <c r="E21" s="9" t="inlineStr">
        <is>
          <t>Другий платіж</t>
        </is>
      </c>
      <c r="F21" s="10" t="n">
        <v>751000.0600000001</v>
      </c>
      <c r="G21" s="10" t="n">
        <v>751000.0600000001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6842</v>
      </c>
      <c r="C22" s="9" t="inlineStr">
        <is>
          <t>2</t>
        </is>
      </c>
      <c r="D22" s="9" t="inlineStr">
        <is>
          <t>Александров</t>
        </is>
      </c>
      <c r="E22" s="9" t="inlineStr">
        <is>
          <t>Авансовий платіж</t>
        </is>
      </c>
      <c r="F22" s="10" t="n">
        <v>3308968</v>
      </c>
      <c r="G22" s="10" t="n">
        <v>3308968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46169</v>
      </c>
      <c r="B23" s="9" t="n">
        <v>7960</v>
      </c>
      <c r="C23" s="9" t="inlineStr">
        <is>
          <t>Сірокко Sirocco вітрова ел ст Львів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99610.8</v>
      </c>
      <c r="G23" s="10" t="n">
        <v>99610.8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46169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Авансовий платіж</t>
        </is>
      </c>
      <c r="F24" s="10" t="n">
        <v>103606.2</v>
      </c>
      <c r="G24" s="10" t="n">
        <v>103606.2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8188</v>
      </c>
      <c r="C25" s="9" t="inlineStr">
        <is>
          <t>Фундамент Ужгород Стефанія</t>
        </is>
      </c>
      <c r="D25" s="9" t="inlineStr">
        <is>
          <t>Александров</t>
        </is>
      </c>
      <c r="E25" s="9" t="inlineStr">
        <is>
          <t>Авансовий платіж</t>
        </is>
      </c>
      <c r="F25" s="10" t="n">
        <v>206200</v>
      </c>
      <c r="G25" s="10" t="n">
        <v>206200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46170</v>
      </c>
      <c r="B26" s="9" t="n">
        <v>8454</v>
      </c>
      <c r="C26" s="9" t="inlineStr">
        <is>
          <t>Олександр каркасний Верховина</t>
        </is>
      </c>
      <c r="D26" s="9" t="inlineStr">
        <is>
          <t>Донська</t>
        </is>
      </c>
      <c r="E26" s="9" t="inlineStr">
        <is>
          <t>Другий платіж</t>
        </is>
      </c>
      <c r="F26" s="10" t="n">
        <v>69666</v>
      </c>
      <c r="G26" s="10" t="n">
        <v>69666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  <c r="K26" s="12" t="inlineStr"/>
    </row>
    <row r="27">
      <c r="A27" s="8" t="n">
        <v>46170</v>
      </c>
      <c r="B27" s="9" t="n">
        <v>8544</v>
      </c>
      <c r="C27" s="9" t="inlineStr">
        <is>
          <t>Isolar фланець Хмельницький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261990</v>
      </c>
      <c r="G27" s="10" t="n">
        <v>261990</v>
      </c>
      <c r="H27" s="11">
        <f>F27-G27</f>
        <v/>
      </c>
      <c r="I27" s="9" t="inlineStr">
        <is>
          <t>отримано</t>
        </is>
      </c>
      <c r="J27" t="inlineStr">
        <is>
          <t>2026-05</t>
        </is>
      </c>
      <c r="K27" s="12" t="inlineStr"/>
    </row>
    <row r="28">
      <c r="A28" s="8" t="n">
        <v>46175</v>
      </c>
      <c r="B28" s="9" t="n">
        <v>5682</v>
      </c>
      <c r="C28" s="9" t="inlineStr">
        <is>
          <t>А Сцена Корчин</t>
        </is>
      </c>
      <c r="D28" s="9" t="inlineStr">
        <is>
          <t>Іщук</t>
        </is>
      </c>
      <c r="E28" s="9" t="inlineStr">
        <is>
          <t>Авансовий платіж</t>
        </is>
      </c>
      <c r="F28" s="10" t="n">
        <v>87150</v>
      </c>
      <c r="G28" s="10" t="n">
        <v>87150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46175</v>
      </c>
      <c r="B29" s="9" t="n">
        <v>8185</v>
      </c>
      <c r="C29" s="9" t="inlineStr">
        <is>
          <t>Фундамент Hytte House Development Славське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168024</v>
      </c>
      <c r="G29" s="10" t="n">
        <v>168024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46177</v>
      </c>
      <c r="B30" s="9" t="n">
        <v>7894</v>
      </c>
      <c r="C30" s="9" t="inlineStr">
        <is>
          <t>А Фора  SCP  32PS</t>
        </is>
      </c>
      <c r="D30" s="9" t="inlineStr">
        <is>
          <t>Донська</t>
        </is>
      </c>
      <c r="E30" s="9" t="inlineStr">
        <is>
          <t>Авансовий платіж</t>
        </is>
      </c>
      <c r="F30" s="10" t="n">
        <v>1487743.97</v>
      </c>
      <c r="G30" s="10" t="n">
        <v>1487743.97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46182</v>
      </c>
      <c r="B31" s="9" t="n">
        <v>8544</v>
      </c>
      <c r="C31" s="9" t="inlineStr">
        <is>
          <t>Isolar фланець Хмельницький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7990.8</v>
      </c>
      <c r="G31" s="10" t="n">
        <v>7990.8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46183</v>
      </c>
      <c r="B32" s="9" t="n">
        <v>8140</v>
      </c>
      <c r="C32" s="9" t="inlineStr">
        <is>
          <t>В Газинвестпроект фундамент Киев</t>
        </is>
      </c>
      <c r="D32" s="9" t="inlineStr">
        <is>
          <t>Заянчковський</t>
        </is>
      </c>
      <c r="E32" s="9" t="inlineStr">
        <is>
          <t>Другий платіж</t>
        </is>
      </c>
      <c r="F32" s="10" t="n">
        <v>86041.2</v>
      </c>
      <c r="G32" s="10" t="n">
        <v>86041.2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46184</v>
      </c>
      <c r="B33" s="9" t="n">
        <v>3456</v>
      </c>
      <c r="C33" s="9" t="inlineStr">
        <is>
          <t>А Підселання фундаменту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783940.92</v>
      </c>
      <c r="G33" s="10" t="n">
        <v>783940.92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46184</v>
      </c>
      <c r="B34" s="9" t="n">
        <v>8360</v>
      </c>
      <c r="C34" s="9" t="inlineStr">
        <is>
          <t>Хаджет Лебедівка</t>
        </is>
      </c>
      <c r="D34" s="9" t="inlineStr">
        <is>
          <t>Донська</t>
        </is>
      </c>
      <c r="E34" s="9" t="inlineStr">
        <is>
          <t>Другий платіж</t>
        </is>
      </c>
      <c r="F34" s="10" t="n">
        <v>95968.3</v>
      </c>
      <c r="G34" s="10" t="n">
        <v>95968.3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46185</v>
      </c>
      <c r="B35" s="9" t="n">
        <v>7474</v>
      </c>
      <c r="C35" s="9" t="inlineStr">
        <is>
          <t>А Головне управління Національної поліції в Одеській області  SCP  15PS</t>
        </is>
      </c>
      <c r="D35" s="9" t="inlineStr">
        <is>
          <t>Іщук</t>
        </is>
      </c>
      <c r="E35" s="9" t="inlineStr">
        <is>
          <t>П'ятий платіж</t>
        </is>
      </c>
      <c r="F35" s="10" t="n">
        <v>1749999</v>
      </c>
      <c r="G35" s="10" t="n">
        <v>1749999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46188</v>
      </c>
      <c r="B36" s="9" t="n">
        <v>6406</v>
      </c>
      <c r="C36" s="9" t="inlineStr">
        <is>
          <t>Максим Яловий Чинадієво</t>
        </is>
      </c>
      <c r="D36" s="9" t="inlineStr">
        <is>
          <t>Александров</t>
        </is>
      </c>
      <c r="E36" s="9" t="inlineStr">
        <is>
          <t>Авансовий платіж</t>
        </is>
      </c>
      <c r="F36" s="10" t="n">
        <v>154980</v>
      </c>
      <c r="G36" s="10" t="n">
        <v>154980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46195</v>
      </c>
      <c r="B37" s="9" t="n">
        <v>8644</v>
      </c>
      <c r="C37" s="9" t="inlineStr">
        <is>
          <t>Solars ГШ 1,7+надставки 3,5</t>
        </is>
      </c>
      <c r="D37" s="9" t="inlineStr">
        <is>
          <t>Александров</t>
        </is>
      </c>
      <c r="E37" s="9" t="inlineStr">
        <is>
          <t>Авансовий платіж</t>
        </is>
      </c>
      <c r="F37" s="10" t="n">
        <v>415900</v>
      </c>
      <c r="G37" s="10" t="n">
        <v>415900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46196</v>
      </c>
      <c r="B38" s="9" t="n">
        <v>5682</v>
      </c>
      <c r="C38" s="9" t="inlineStr">
        <is>
          <t>А Сцена Корчин</t>
        </is>
      </c>
      <c r="D38" s="9" t="inlineStr">
        <is>
          <t>Іщук</t>
        </is>
      </c>
      <c r="E38" s="9" t="inlineStr">
        <is>
          <t>Другий платіж</t>
        </is>
      </c>
      <c r="F38" s="10" t="n">
        <v>369984.96</v>
      </c>
      <c r="G38" s="10" t="n">
        <v>369984.96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46197</v>
      </c>
      <c r="B39" s="9" t="n">
        <v>7068</v>
      </c>
      <c r="C39" s="9" t="inlineStr">
        <is>
          <t>А Remtec energy  AGM  160 TP</t>
        </is>
      </c>
      <c r="D39" s="9" t="inlineStr">
        <is>
          <t>Александров</t>
        </is>
      </c>
      <c r="E39" s="9" t="inlineStr">
        <is>
          <t>Другий платіж</t>
        </is>
      </c>
      <c r="F39" s="10" t="n">
        <v>0</v>
      </c>
      <c r="G39" s="10" t="n">
        <v>1153420</v>
      </c>
      <c r="H39" s="11">
        <f>F39-G39</f>
        <v/>
      </c>
      <c r="I39" s="9" t="inlineStr">
        <is>
          <t>очікується</t>
        </is>
      </c>
      <c r="J39" t="inlineStr">
        <is>
          <t>2026-06</t>
        </is>
      </c>
      <c r="K39" s="12" t="inlineStr"/>
    </row>
    <row r="40">
      <c r="A40" s="8" t="n">
        <v>46197</v>
      </c>
      <c r="B40" s="9" t="n">
        <v>8360</v>
      </c>
      <c r="C40" s="9" t="inlineStr">
        <is>
          <t>Хаджет Лебедівка</t>
        </is>
      </c>
      <c r="D40" s="9" t="inlineStr">
        <is>
          <t>Донська</t>
        </is>
      </c>
      <c r="E40" s="9" t="inlineStr">
        <is>
          <t>Третій платіж</t>
        </is>
      </c>
      <c r="F40" s="10" t="n">
        <v>95968.3</v>
      </c>
      <c r="G40" s="10" t="n">
        <v>95968.3</v>
      </c>
      <c r="H40" s="11">
        <f>F40-G40</f>
        <v/>
      </c>
      <c r="I40" s="9" t="inlineStr">
        <is>
          <t>отримано</t>
        </is>
      </c>
      <c r="J40" t="inlineStr">
        <is>
          <t>2026-06</t>
        </is>
      </c>
      <c r="K40" s="12" t="inlineStr"/>
    </row>
    <row r="41">
      <c r="A41" s="8" t="n">
        <v>46202</v>
      </c>
      <c r="B41" s="9" t="n">
        <v>6704</v>
      </c>
      <c r="C41" s="9" t="inlineStr">
        <is>
          <t>SCP Taurus 236PS</t>
        </is>
      </c>
      <c r="D41" s="9" t="inlineStr">
        <is>
          <t>Александров</t>
        </is>
      </c>
      <c r="E41" s="9" t="inlineStr">
        <is>
          <t>Другий платіж</t>
        </is>
      </c>
      <c r="F41" s="10" t="n">
        <v>1872000</v>
      </c>
      <c r="G41" s="10" t="n">
        <v>1872000</v>
      </c>
      <c r="H41" s="11">
        <f>F41-G41</f>
        <v/>
      </c>
      <c r="I41" s="9" t="inlineStr">
        <is>
          <t>отримано</t>
        </is>
      </c>
      <c r="J41" t="inlineStr">
        <is>
          <t>2026-06</t>
        </is>
      </c>
      <c r="K41" s="12" t="inlineStr"/>
    </row>
    <row r="42">
      <c r="A42" s="8" t="n">
        <v>46203</v>
      </c>
      <c r="B42" s="9" t="n">
        <v>5870</v>
      </c>
      <c r="C42" s="9" t="inlineStr">
        <is>
          <t>Carport Airport Munich</t>
        </is>
      </c>
      <c r="D42" s="9" t="inlineStr">
        <is>
          <t>Александров</t>
        </is>
      </c>
      <c r="E42" s="9" t="inlineStr">
        <is>
          <t>Другий платіж</t>
        </is>
      </c>
      <c r="F42" s="10" t="n">
        <v>7800000</v>
      </c>
      <c r="G42" s="10" t="n">
        <v>0</v>
      </c>
      <c r="H42" s="11">
        <f>F42-G42</f>
        <v/>
      </c>
      <c r="I42" s="9" t="inlineStr">
        <is>
          <t>прострочено</t>
        </is>
      </c>
      <c r="J42" t="inlineStr">
        <is>
          <t>2026-06</t>
        </is>
      </c>
      <c r="K42" s="12" t="inlineStr"/>
    </row>
    <row r="43">
      <c r="A43" s="8" t="n">
        <v>46204</v>
      </c>
      <c r="B43" s="9" t="n">
        <v>4766</v>
      </c>
      <c r="C43" s="9" t="inlineStr">
        <is>
          <t>ALTECO Carport Model Taurus 280кВт</t>
        </is>
      </c>
      <c r="D43" s="9" t="inlineStr">
        <is>
          <t>Заянчковський</t>
        </is>
      </c>
      <c r="E43" s="9" t="inlineStr">
        <is>
          <t>Авансовий платіж</t>
        </is>
      </c>
      <c r="F43" s="10" t="n">
        <v>20000</v>
      </c>
      <c r="G43" s="10" t="n">
        <v>20000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46209</v>
      </c>
      <c r="B44" s="9" t="n">
        <v>8878</v>
      </c>
      <c r="C44" s="9" t="inlineStr">
        <is>
          <t>А ТОВ КОМПАНІЯ ВОЛЬТ СЕРВІС ГРУП</t>
        </is>
      </c>
      <c r="D44" s="9" t="inlineStr">
        <is>
          <t>Заянчковський</t>
        </is>
      </c>
      <c r="E44" s="9" t="inlineStr">
        <is>
          <t>Авансовий платіж</t>
        </is>
      </c>
      <c r="F44" s="10" t="n">
        <v>410320</v>
      </c>
      <c r="G44" s="10" t="n">
        <v>410320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/>
    </row>
    <row r="45">
      <c r="A45" s="8" t="n">
        <v>46212</v>
      </c>
      <c r="B45" s="9" t="n">
        <v>6406</v>
      </c>
      <c r="C45" s="9" t="inlineStr">
        <is>
          <t>Максим Яловий Чинадієво</t>
        </is>
      </c>
      <c r="D45" s="9" t="inlineStr">
        <is>
          <t>Александров</t>
        </is>
      </c>
      <c r="E45" s="9" t="inlineStr">
        <is>
          <t>Другий платіж</t>
        </is>
      </c>
      <c r="F45" s="10" t="n">
        <v>218602</v>
      </c>
      <c r="G45" s="10" t="n">
        <v>0</v>
      </c>
      <c r="H45" s="11">
        <f>F45-G45</f>
        <v/>
      </c>
      <c r="I45" s="9" t="inlineStr">
        <is>
          <t>прострочено</t>
        </is>
      </c>
      <c r="J45" t="inlineStr">
        <is>
          <t>2026-07</t>
        </is>
      </c>
      <c r="K45" s="12" t="inlineStr"/>
    </row>
    <row r="46">
      <c r="A46" s="8" t="n">
        <v>46213</v>
      </c>
      <c r="B46" s="9" t="n">
        <v>8188</v>
      </c>
      <c r="C46" s="9" t="inlineStr">
        <is>
          <t>Фундамент Ужгород Стефанія</t>
        </is>
      </c>
      <c r="D46" s="9" t="inlineStr">
        <is>
          <t>Александров</t>
        </is>
      </c>
      <c r="E46" s="9" t="inlineStr">
        <is>
          <t>Другий платіж</t>
        </is>
      </c>
      <c r="F46" s="10" t="n">
        <v>73926</v>
      </c>
      <c r="G46" s="10" t="n">
        <v>0</v>
      </c>
      <c r="H46" s="11">
        <f>F46-G46</f>
        <v/>
      </c>
      <c r="I46" s="9" t="inlineStr">
        <is>
          <t>прострочено</t>
        </is>
      </c>
      <c r="J46" t="inlineStr">
        <is>
          <t>2026-07</t>
        </is>
      </c>
      <c r="K46" s="12" t="inlineStr"/>
    </row>
    <row r="47">
      <c r="A47" s="8" t="n">
        <v>46216</v>
      </c>
      <c r="B47" s="9" t="n">
        <v>8496</v>
      </c>
      <c r="C47" s="9" t="inlineStr">
        <is>
          <t>А Greensource  SGM  110MWp</t>
        </is>
      </c>
      <c r="D47" s="9" t="inlineStr">
        <is>
          <t>Іщук</t>
        </is>
      </c>
      <c r="E47" s="9" t="inlineStr">
        <is>
          <t>Авансовий платіж</t>
        </is>
      </c>
      <c r="F47" s="10" t="n">
        <v>450545.92</v>
      </c>
      <c r="G47" s="10" t="n">
        <v>450545.92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>
        <is>
          <t>€8 800</t>
        </is>
      </c>
    </row>
    <row r="48">
      <c r="A48" s="8" t="n">
        <v>46217</v>
      </c>
      <c r="B48" s="9" t="n">
        <v>4766</v>
      </c>
      <c r="C48" s="9" t="inlineStr">
        <is>
          <t>ALTECO Carport Model Taurus 280кВт</t>
        </is>
      </c>
      <c r="D48" s="9" t="inlineStr">
        <is>
          <t>Заянчковський</t>
        </is>
      </c>
      <c r="E48" s="9" t="inlineStr">
        <is>
          <t>Другий платіж</t>
        </is>
      </c>
      <c r="F48" s="10" t="n">
        <v>100000</v>
      </c>
      <c r="G48" s="10" t="n">
        <v>100000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46217</v>
      </c>
      <c r="B49" s="9" t="n">
        <v>5910</v>
      </c>
      <c r="C49" s="9" t="inlineStr">
        <is>
          <t>А   AGM 2V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8554776.49488</v>
      </c>
      <c r="G49" s="10" t="n">
        <v>0</v>
      </c>
      <c r="H49" s="11">
        <f>F49-G49</f>
        <v/>
      </c>
      <c r="I49" s="9" t="inlineStr">
        <is>
          <t>прострочено</t>
        </is>
      </c>
      <c r="J49" t="inlineStr">
        <is>
          <t>2026-07</t>
        </is>
      </c>
      <c r="K49" s="12" t="inlineStr">
        <is>
          <t>€167 091</t>
        </is>
      </c>
    </row>
    <row r="50">
      <c r="A50" s="8" t="n">
        <v>46217</v>
      </c>
      <c r="B50" s="9" t="n">
        <v>8185</v>
      </c>
      <c r="C50" s="9" t="inlineStr">
        <is>
          <t>Фундамент Hytte House Development Славське</t>
        </is>
      </c>
      <c r="D50" s="9" t="inlineStr">
        <is>
          <t>Донська</t>
        </is>
      </c>
      <c r="E50" s="9" t="inlineStr">
        <is>
          <t>Другий платіж</t>
        </is>
      </c>
      <c r="F50" s="10" t="n">
        <v>63313.4</v>
      </c>
      <c r="G50" s="10" t="n">
        <v>0</v>
      </c>
      <c r="H50" s="11">
        <f>F50-G50</f>
        <v/>
      </c>
      <c r="I50" s="9" t="inlineStr">
        <is>
          <t>прострочено</t>
        </is>
      </c>
      <c r="J50" t="inlineStr">
        <is>
          <t>2026-07</t>
        </is>
      </c>
      <c r="K50" s="12" t="inlineStr"/>
    </row>
    <row r="51">
      <c r="A51" s="8" t="n">
        <v>46217</v>
      </c>
      <c r="B51" s="9" t="n">
        <v>8185</v>
      </c>
      <c r="C51" s="9" t="inlineStr">
        <is>
          <t>Фундамент Hytte House Development Славське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63313.4</v>
      </c>
      <c r="G51" s="10" t="n">
        <v>0</v>
      </c>
      <c r="H51" s="11">
        <f>F51-G51</f>
        <v/>
      </c>
      <c r="I51" s="9" t="inlineStr">
        <is>
          <t>прострочено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А Фора  SCP W 24PS V1</t>
        </is>
      </c>
      <c r="D52" s="9" t="inlineStr">
        <is>
          <t>Донська</t>
        </is>
      </c>
      <c r="E52" s="9" t="inlineStr">
        <is>
          <t>Другий платіж</t>
        </is>
      </c>
      <c r="F52" s="10" t="n">
        <v>126896.64</v>
      </c>
      <c r="G52" s="10" t="n">
        <v>0</v>
      </c>
      <c r="H52" s="11">
        <f>F52-G52</f>
        <v/>
      </c>
      <c r="I52" s="9" t="inlineStr">
        <is>
          <t>очікується</t>
        </is>
      </c>
      <c r="J52" t="inlineStr">
        <is>
          <t>2026-07</t>
        </is>
      </c>
      <c r="K52" s="12" t="inlineStr"/>
    </row>
    <row r="53">
      <c r="A53" s="8" t="n">
        <v>46219</v>
      </c>
      <c r="B53" s="9" t="n">
        <v>7002</v>
      </c>
      <c r="C53" s="9" t="inlineStr">
        <is>
          <t>А Фора  SCP W 24PS V1</t>
        </is>
      </c>
      <c r="D53" s="9" t="inlineStr">
        <is>
          <t>Донська</t>
        </is>
      </c>
      <c r="E53" s="9" t="inlineStr">
        <is>
          <t>Третій платіж</t>
        </is>
      </c>
      <c r="F53" s="10" t="n">
        <v>126896.64</v>
      </c>
      <c r="G53" s="10" t="n">
        <v>0</v>
      </c>
      <c r="H53" s="11">
        <f>F53-G53</f>
        <v/>
      </c>
      <c r="I53" s="9" t="inlineStr">
        <is>
          <t>очікується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3456</v>
      </c>
      <c r="C54" s="9" t="inlineStr">
        <is>
          <t>А Підселання фундаменту</t>
        </is>
      </c>
      <c r="D54" s="9" t="inlineStr">
        <is>
          <t>Донська</t>
        </is>
      </c>
      <c r="E54" s="9" t="inlineStr">
        <is>
          <t>Третій платіж</t>
        </is>
      </c>
      <c r="F54" s="10" t="n">
        <v>335974.68</v>
      </c>
      <c r="G54" s="10" t="n">
        <v>0</v>
      </c>
      <c r="H54" s="11">
        <f>F54-G54</f>
        <v/>
      </c>
      <c r="I54" s="9" t="inlineStr">
        <is>
          <t>очікується</t>
        </is>
      </c>
      <c r="J54" t="inlineStr">
        <is>
          <t>2026-07</t>
        </is>
      </c>
      <c r="K54" s="12" t="inlineStr"/>
    </row>
    <row r="55">
      <c r="A55" s="8" t="n">
        <v>46225</v>
      </c>
      <c r="B55" s="9" t="n">
        <v>8008</v>
      </c>
      <c r="C55" s="9" t="inlineStr">
        <is>
          <t>Модулі Григорівка</t>
        </is>
      </c>
      <c r="D55" s="9" t="inlineStr">
        <is>
          <t>Донська</t>
        </is>
      </c>
      <c r="E55" s="9" t="inlineStr">
        <is>
          <t>Другий платіж</t>
        </is>
      </c>
      <c r="F55" s="10" t="n">
        <v>178088.4</v>
      </c>
      <c r="G55" s="10" t="n">
        <v>178088.4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7894</v>
      </c>
      <c r="C56" s="9" t="inlineStr">
        <is>
          <t>А Фора  SCP  32PS</t>
        </is>
      </c>
      <c r="D56" s="9" t="inlineStr">
        <is>
          <t>Донська</t>
        </is>
      </c>
      <c r="E56" s="9" t="inlineStr">
        <is>
          <t>Четвертий платіж</t>
        </is>
      </c>
      <c r="F56" s="10" t="n">
        <v>737597.4</v>
      </c>
      <c r="G56" s="10" t="n">
        <v>0</v>
      </c>
      <c r="H56" s="11">
        <f>F56-G56</f>
        <v/>
      </c>
      <c r="I56" s="9" t="inlineStr">
        <is>
          <t>очікується</t>
        </is>
      </c>
      <c r="J56" t="inlineStr">
        <is>
          <t>2026-07</t>
        </is>
      </c>
      <c r="K56" s="12" t="inlineStr"/>
    </row>
    <row r="57">
      <c r="A57" s="8" t="n">
        <v>46232</v>
      </c>
      <c r="B57" s="9" t="n">
        <v>5910</v>
      </c>
      <c r="C57" s="9" t="inlineStr">
        <is>
          <t>А   AGM 2V</t>
        </is>
      </c>
      <c r="D57" s="9" t="inlineStr">
        <is>
          <t>Донська</t>
        </is>
      </c>
      <c r="E57" s="9" t="inlineStr">
        <is>
          <t>Другий платіж</t>
        </is>
      </c>
      <c r="F57" s="10" t="n">
        <v>17109552.98976</v>
      </c>
      <c r="G57" s="10" t="n">
        <v>0</v>
      </c>
      <c r="H57" s="11">
        <f>F57-G57</f>
        <v/>
      </c>
      <c r="I57" s="9" t="inlineStr">
        <is>
          <t>очікується</t>
        </is>
      </c>
      <c r="J57" t="inlineStr">
        <is>
          <t>2026-07</t>
        </is>
      </c>
      <c r="K57" s="12" t="inlineStr">
        <is>
          <t>€334 181</t>
        </is>
      </c>
    </row>
    <row r="58">
      <c r="A58" s="8" t="n">
        <v>46233</v>
      </c>
      <c r="B58" s="9" t="n">
        <v>8008</v>
      </c>
      <c r="C58" s="9" t="inlineStr">
        <is>
          <t>Модулі Григорівка</t>
        </is>
      </c>
      <c r="D58" s="9" t="inlineStr">
        <is>
          <t>Донська</t>
        </is>
      </c>
      <c r="E58" s="9" t="inlineStr">
        <is>
          <t>Третій платіж</t>
        </is>
      </c>
      <c r="F58" s="10" t="n">
        <v>178088.4</v>
      </c>
      <c r="G58" s="10" t="n">
        <v>178088.4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7068</v>
      </c>
      <c r="C59" s="9" t="inlineStr">
        <is>
          <t>А Remtec energy  AGM  160 TP</t>
        </is>
      </c>
      <c r="D59" s="9" t="inlineStr">
        <is>
          <t>Александров</t>
        </is>
      </c>
      <c r="E59" s="9" t="inlineStr">
        <is>
          <t>Третій платіж</t>
        </is>
      </c>
      <c r="F59" s="10" t="n">
        <v>0</v>
      </c>
      <c r="G59" s="10" t="n">
        <v>2794670</v>
      </c>
      <c r="H59" s="11">
        <f>F59-G59</f>
        <v/>
      </c>
      <c r="I59" s="9" t="inlineStr">
        <is>
          <t>очікується</t>
        </is>
      </c>
      <c r="J59" t="inlineStr">
        <is>
          <t>2026-07</t>
        </is>
      </c>
      <c r="K59" s="12" t="inlineStr"/>
    </row>
    <row r="60">
      <c r="A60" s="8" t="n">
        <v>46234</v>
      </c>
      <c r="B60" s="9" t="n">
        <v>7244</v>
      </c>
      <c r="C60" s="9" t="inlineStr">
        <is>
          <t>В Модулекс модульна будівля Чернігів</t>
        </is>
      </c>
      <c r="D60" s="9" t="inlineStr">
        <is>
          <t>Заянчковський</t>
        </is>
      </c>
      <c r="E60" s="9" t="inlineStr">
        <is>
          <t>П'ятий платіж</t>
        </is>
      </c>
      <c r="F60" s="10" t="n">
        <v>132708.6</v>
      </c>
      <c r="G60" s="10" t="n">
        <v>0</v>
      </c>
      <c r="H60" s="11">
        <f>F60-G60</f>
        <v/>
      </c>
      <c r="I60" s="9" t="inlineStr">
        <is>
          <t>очікується</t>
        </is>
      </c>
      <c r="J60" t="inlineStr">
        <is>
          <t>2026-07</t>
        </is>
      </c>
      <c r="K60" s="12" t="inlineStr"/>
    </row>
    <row r="61">
      <c r="A61" s="8" t="n">
        <v>46234</v>
      </c>
      <c r="B61" s="9" t="n">
        <v>7894</v>
      </c>
      <c r="C61" s="9" t="inlineStr">
        <is>
          <t>А Фора  SCP  32PS</t>
        </is>
      </c>
      <c r="D61" s="9" t="inlineStr">
        <is>
          <t>Донська</t>
        </is>
      </c>
      <c r="E61" s="9" t="inlineStr">
        <is>
          <t>Другий платіж</t>
        </is>
      </c>
      <c r="F61" s="10" t="n">
        <v>185968</v>
      </c>
      <c r="G61" s="10" t="n">
        <v>0</v>
      </c>
      <c r="H61" s="11">
        <f>F61-G61</f>
        <v/>
      </c>
      <c r="I61" s="9" t="inlineStr">
        <is>
          <t>очікується</t>
        </is>
      </c>
      <c r="J61" t="inlineStr">
        <is>
          <t>2026-07</t>
        </is>
      </c>
      <c r="K61" s="12" t="inlineStr"/>
    </row>
    <row r="62">
      <c r="A62" s="8" t="n">
        <v>46237</v>
      </c>
      <c r="B62" s="9" t="n">
        <v>8878</v>
      </c>
      <c r="C62" s="9" t="inlineStr">
        <is>
          <t>А ТОВ КОМПАНІЯ ВОЛЬТ СЕРВІС ГРУП</t>
        </is>
      </c>
      <c r="D62" s="9" t="inlineStr">
        <is>
          <t>Заянчковський</t>
        </is>
      </c>
      <c r="E62" s="9" t="inlineStr">
        <is>
          <t>П'ятий платіж</t>
        </is>
      </c>
      <c r="F62" s="10" t="n">
        <v>12823</v>
      </c>
      <c r="G62" s="10" t="n">
        <v>0</v>
      </c>
      <c r="H62" s="11">
        <f>F62-G62</f>
        <v/>
      </c>
      <c r="I62" s="9" t="inlineStr">
        <is>
          <t>очікується</t>
        </is>
      </c>
      <c r="J62" t="inlineStr">
        <is>
          <t>2026-08</t>
        </is>
      </c>
      <c r="K62" s="12" t="inlineStr"/>
    </row>
    <row r="63">
      <c r="A63" s="8" t="n">
        <v>46245</v>
      </c>
      <c r="B63" s="9" t="n">
        <v>7894</v>
      </c>
      <c r="C63" s="9" t="inlineStr">
        <is>
          <t>А Фора  SCP  32PS</t>
        </is>
      </c>
      <c r="D63" s="9" t="inlineStr">
        <is>
          <t>Донська</t>
        </is>
      </c>
      <c r="E63" s="9" t="inlineStr">
        <is>
          <t>Третій платіж</t>
        </is>
      </c>
      <c r="F63" s="10" t="n">
        <v>185967.99</v>
      </c>
      <c r="G63" s="10" t="n">
        <v>0</v>
      </c>
      <c r="H63" s="11">
        <f>F63-G63</f>
        <v/>
      </c>
      <c r="I63" s="9" t="inlineStr">
        <is>
          <t>очікується</t>
        </is>
      </c>
      <c r="J63" t="inlineStr">
        <is>
          <t>2026-08</t>
        </is>
      </c>
      <c r="K63" s="12" t="inlineStr"/>
    </row>
    <row r="64">
      <c r="A64" s="8" t="n">
        <v>46249</v>
      </c>
      <c r="B64" s="9" t="n">
        <v>7002</v>
      </c>
      <c r="C64" s="9" t="inlineStr">
        <is>
          <t>А Фора  SCP W 24PS V1</t>
        </is>
      </c>
      <c r="D64" s="9" t="inlineStr">
        <is>
          <t>Донська</t>
        </is>
      </c>
      <c r="E64" s="9" t="inlineStr">
        <is>
          <t>Четвертий платіж</t>
        </is>
      </c>
      <c r="F64" s="10" t="n">
        <v>573945</v>
      </c>
      <c r="G64" s="10" t="n">
        <v>0</v>
      </c>
      <c r="H64" s="11">
        <f>F64-G64</f>
        <v/>
      </c>
      <c r="I64" s="9" t="inlineStr">
        <is>
          <t>очікується</t>
        </is>
      </c>
      <c r="J64" t="inlineStr">
        <is>
          <t>2026-08</t>
        </is>
      </c>
      <c r="K64" s="12" t="inlineStr"/>
    </row>
    <row r="65">
      <c r="A65" s="8" t="n">
        <v>46260</v>
      </c>
      <c r="B65" s="9" t="n">
        <v>7002</v>
      </c>
      <c r="C65" s="9" t="inlineStr">
        <is>
          <t>А Фора  SCP W 24PS V1</t>
        </is>
      </c>
      <c r="D65" s="9" t="inlineStr">
        <is>
          <t>Донська</t>
        </is>
      </c>
      <c r="E65" s="9" t="inlineStr">
        <is>
          <t>П'ятий платіж</t>
        </is>
      </c>
      <c r="F65" s="10" t="n">
        <v>573945</v>
      </c>
      <c r="G65" s="10" t="n">
        <v>0</v>
      </c>
      <c r="H65" s="11">
        <f>F65-G65</f>
        <v/>
      </c>
      <c r="I65" s="9" t="inlineStr">
        <is>
          <t>очікується</t>
        </is>
      </c>
      <c r="J65" t="inlineStr">
        <is>
          <t>2026-08</t>
        </is>
      </c>
      <c r="K65" s="12" t="inlineStr"/>
    </row>
    <row r="66">
      <c r="A66" s="8" t="n">
        <v>46264</v>
      </c>
      <c r="B66" s="9" t="n">
        <v>5910</v>
      </c>
      <c r="C66" s="9" t="inlineStr">
        <is>
          <t>А   AGM 2V</t>
        </is>
      </c>
      <c r="D66" s="9" t="inlineStr">
        <is>
          <t>Донська</t>
        </is>
      </c>
      <c r="E66" s="9" t="inlineStr">
        <is>
          <t>Третій платіж</t>
        </is>
      </c>
      <c r="F66" s="10" t="n">
        <v>2851592.16496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>
        <is>
          <t>€55 697</t>
        </is>
      </c>
    </row>
    <row r="67">
      <c r="A67" s="8" t="n">
        <v>46282</v>
      </c>
      <c r="B67" s="9" t="n">
        <v>7894</v>
      </c>
      <c r="C67" s="9" t="inlineStr">
        <is>
          <t>А Фора  SCP  32PS</t>
        </is>
      </c>
      <c r="D67" s="9" t="inlineStr">
        <is>
          <t>Донська</t>
        </is>
      </c>
      <c r="E67" s="9" t="inlineStr">
        <is>
          <t>П'ятий платіж</t>
        </is>
      </c>
      <c r="F67" s="10" t="n">
        <v>737597.4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2026-09</t>
        </is>
      </c>
      <c r="K67" s="12" t="inlineStr"/>
    </row>
    <row r="68">
      <c r="A68" s="8" t="n">
        <v>46287</v>
      </c>
      <c r="B68" s="9" t="n">
        <v>4766</v>
      </c>
      <c r="C68" s="9" t="inlineStr">
        <is>
          <t>ALTECO Carport Model Taurus 280кВт</t>
        </is>
      </c>
      <c r="D68" s="9" t="inlineStr">
        <is>
          <t>Заянчковський</t>
        </is>
      </c>
      <c r="E68" s="9" t="inlineStr">
        <is>
          <t>П'ятий платіж</t>
        </is>
      </c>
      <c r="F68" s="10" t="n">
        <v>4880000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2026-09</t>
        </is>
      </c>
      <c r="K68" s="12" t="inlineStr"/>
    </row>
    <row r="69">
      <c r="E69" s="3" t="inlineStr">
        <is>
          <t>Разом</t>
        </is>
      </c>
      <c r="F69" s="13">
        <f>SUM(F2:F68)</f>
        <v/>
      </c>
      <c r="G69" s="13">
        <f>SUM(G2:G68)</f>
        <v/>
      </c>
      <c r="H69" s="13">
        <f>SUM(H2:H68)</f>
        <v/>
      </c>
    </row>
  </sheetData>
  <autoFilter ref="A1:I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3" t="inlineStr">
        <is>
          <t>Разом</t>
        </is>
      </c>
      <c r="B8" s="13">
        <f>SUM(B2:B7)</f>
        <v/>
      </c>
      <c r="C8" s="13">
        <f>SUM(C2:C7)</f>
        <v/>
      </c>
      <c r="D8" s="13">
        <f>SUM(D2:D7)</f>
        <v/>
      </c>
      <c r="E8" s="15">
        <f>IF(B8=0,0,C8/B8)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46217</v>
      </c>
      <c r="B2" s="9" t="n">
        <v>5910</v>
      </c>
      <c r="C2" s="9" t="inlineStr">
        <is>
          <t>А   AGM 2V</t>
        </is>
      </c>
      <c r="D2" s="9" t="inlineStr">
        <is>
          <t>Авансовий платіж</t>
        </is>
      </c>
      <c r="E2" s="11" t="n">
        <v>8554776.49488</v>
      </c>
      <c r="F2" s="11" t="n">
        <v>0</v>
      </c>
      <c r="G2" s="11">
        <f>E2-F2</f>
        <v/>
      </c>
    </row>
    <row r="3">
      <c r="A3" s="8" t="n">
        <v>46203</v>
      </c>
      <c r="B3" s="9" t="n">
        <v>5870</v>
      </c>
      <c r="C3" s="9" t="inlineStr">
        <is>
          <t>Carport Airport Munich</t>
        </is>
      </c>
      <c r="D3" s="9" t="inlineStr">
        <is>
          <t>Другий платіж</t>
        </is>
      </c>
      <c r="E3" s="11" t="n">
        <v>7800000</v>
      </c>
      <c r="F3" s="11" t="n">
        <v>0</v>
      </c>
      <c r="G3" s="11">
        <f>E3-F3</f>
        <v/>
      </c>
    </row>
    <row r="4">
      <c r="A4" s="8" t="n">
        <v>46165</v>
      </c>
      <c r="B4" s="9" t="n">
        <v>6704</v>
      </c>
      <c r="C4" s="9" t="inlineStr">
        <is>
          <t>SCP Taurus 236PS</t>
        </is>
      </c>
      <c r="D4" s="9" t="inlineStr">
        <is>
          <t>Третій платіж</t>
        </is>
      </c>
      <c r="E4" s="11" t="n">
        <v>4524000</v>
      </c>
      <c r="F4" s="11" t="n">
        <v>0</v>
      </c>
      <c r="G4" s="11">
        <f>E4-F4</f>
        <v/>
      </c>
    </row>
    <row r="5">
      <c r="A5" s="8" t="n">
        <v>46113</v>
      </c>
      <c r="B5" s="9" t="n">
        <v>7068</v>
      </c>
      <c r="C5" s="9" t="inlineStr">
        <is>
          <t>А Remtec energy  AGM  160 TP</t>
        </is>
      </c>
      <c r="D5" s="9" t="inlineStr">
        <is>
          <t>Авансовий платіж</t>
        </is>
      </c>
      <c r="E5" s="11" t="n">
        <v>5640128</v>
      </c>
      <c r="F5" s="11" t="n">
        <v>1692038</v>
      </c>
      <c r="G5" s="11">
        <f>E5-F5</f>
        <v/>
      </c>
    </row>
    <row r="6">
      <c r="A6" s="8" t="n">
        <v>46212</v>
      </c>
      <c r="B6" s="9" t="n">
        <v>6406</v>
      </c>
      <c r="C6" s="9" t="inlineStr">
        <is>
          <t>Максим Яловий Чинадієво</t>
        </is>
      </c>
      <c r="D6" s="9" t="inlineStr">
        <is>
          <t>Другий платіж</t>
        </is>
      </c>
      <c r="E6" s="11" t="n">
        <v>218602</v>
      </c>
      <c r="F6" s="11" t="n">
        <v>0</v>
      </c>
      <c r="G6" s="11">
        <f>E6-F6</f>
        <v/>
      </c>
    </row>
    <row r="7">
      <c r="A7" s="8" t="n">
        <v>46213</v>
      </c>
      <c r="B7" s="9" t="n">
        <v>8188</v>
      </c>
      <c r="C7" s="9" t="inlineStr">
        <is>
          <t>Фундамент Ужгород Стефанія</t>
        </is>
      </c>
      <c r="D7" s="9" t="inlineStr">
        <is>
          <t>Другий платіж</t>
        </is>
      </c>
      <c r="E7" s="11" t="n">
        <v>73926</v>
      </c>
      <c r="F7" s="11" t="n">
        <v>0</v>
      </c>
      <c r="G7" s="11">
        <f>E7-F7</f>
        <v/>
      </c>
    </row>
    <row r="8">
      <c r="A8" s="8" t="n">
        <v>46217</v>
      </c>
      <c r="B8" s="9" t="n">
        <v>8185</v>
      </c>
      <c r="C8" s="9" t="inlineStr">
        <is>
          <t>Фундамент Hytte House Development Славське</t>
        </is>
      </c>
      <c r="D8" s="9" t="inlineStr">
        <is>
          <t>Другий платіж</t>
        </is>
      </c>
      <c r="E8" s="11" t="n">
        <v>63313.4</v>
      </c>
      <c r="F8" s="11" t="n">
        <v>0</v>
      </c>
      <c r="G8" s="11">
        <f>E8-F8</f>
        <v/>
      </c>
    </row>
    <row r="9">
      <c r="A9" s="8" t="n">
        <v>46217</v>
      </c>
      <c r="B9" s="9" t="n">
        <v>8185</v>
      </c>
      <c r="C9" s="9" t="inlineStr">
        <is>
          <t>Фундамент Hytte House Development Славське</t>
        </is>
      </c>
      <c r="D9" s="9" t="inlineStr">
        <is>
          <t>Третій платіж</t>
        </is>
      </c>
      <c r="E9" s="11" t="n">
        <v>63313.4</v>
      </c>
      <c r="F9" s="11" t="n">
        <v>0</v>
      </c>
      <c r="G9" s="11">
        <f>E9-F9</f>
        <v/>
      </c>
    </row>
    <row r="10">
      <c r="D10" s="3" t="inlineStr">
        <is>
          <t>Разом</t>
        </is>
      </c>
      <c r="E10" s="13">
        <f>SUM(E2:E9)</f>
        <v/>
      </c>
      <c r="F10" s="13">
        <f>SUM(F2:F9)</f>
        <v/>
      </c>
      <c r="G10" s="13">
        <f>SUM(G2:G9)</f>
        <v/>
      </c>
    </row>
  </sheetData>
  <autoFilter ref="A1:G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2026-07-15T03:42:45Z</dcterms:created>
  <dcterms:modified xmlns:dcterms="http://purl.org/dc/terms/" xmlns:xsi="http://www.w3.org/2001/XMLSchema-instance" xsi:type="dcterms:W3CDTF">2026-07-15T03:42:45Z</dcterms:modified>
</cp:coreProperties>
</file>