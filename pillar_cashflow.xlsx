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надходжень'!$A$1:$I$94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02.09.2026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2576500</v>
      </c>
      <c r="G10" s="10" t="n">
        <v>2576500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5153000</v>
      </c>
      <c r="G11" s="10" t="n">
        <v>5153000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1855080</v>
      </c>
      <c r="G39" s="10" t="n">
        <v>1855080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453464</v>
      </c>
      <c r="G44" s="10" t="n">
        <v>453464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8610147.700000001</v>
      </c>
      <c r="G54" s="10" t="n">
        <v>8610147.700000001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4055411</v>
      </c>
      <c r="G57" s="10" t="n">
        <v>4055411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4932709.25</v>
      </c>
      <c r="G66" s="10" t="n">
        <v>4932709.25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751049.75</v>
      </c>
      <c r="G67" s="10" t="n">
        <v>751049.75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557296.9500000001</v>
      </c>
      <c r="G68" s="10" t="n">
        <v>557296.9500000001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>
        <is>
          <t>€10 815</t>
        </is>
      </c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46266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2648229.76</v>
      </c>
      <c r="G76" s="10" t="n">
        <v>0</v>
      </c>
      <c r="H76" s="11">
        <f>F76-G76</f>
        <v/>
      </c>
      <c r="I76" s="9" t="inlineStr">
        <is>
          <t>прострочено</t>
        </is>
      </c>
      <c r="J76" t="inlineStr">
        <is>
          <t>2026-09</t>
        </is>
      </c>
      <c r="K76" s="12" t="inlineStr">
        <is>
          <t>€51 392</t>
        </is>
      </c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прострочено</t>
        </is>
      </c>
      <c r="J77" t="inlineStr">
        <is>
          <t>2026-09</t>
        </is>
      </c>
      <c r="K77" s="12" t="inlineStr"/>
    </row>
    <row r="78">
      <c r="A78" s="8" t="n">
        <v>46269</v>
      </c>
      <c r="B78" s="9" t="n">
        <v>5870</v>
      </c>
      <c r="C78" s="9" t="inlineStr">
        <is>
          <t>Carport Airport Munich</t>
        </is>
      </c>
      <c r="D78" s="9" t="inlineStr">
        <is>
          <t>Хома</t>
        </is>
      </c>
      <c r="E78" s="9" t="inlineStr">
        <is>
          <t>Четвертий платіж</t>
        </is>
      </c>
      <c r="F78" s="10" t="n">
        <v>901775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€17 500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46274</v>
      </c>
      <c r="B80" s="9" t="n">
        <v>3456</v>
      </c>
      <c r="C80" s="9" t="inlineStr">
        <is>
          <t>А Підселання фундаменту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335974.68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5910</v>
      </c>
      <c r="C81" s="9" t="inlineStr">
        <is>
          <t>SGM Brdovec, Хорватия</t>
        </is>
      </c>
      <c r="D81" s="9" t="inlineStr">
        <is>
          <t>Донська</t>
        </is>
      </c>
      <c r="E81" s="9" t="inlineStr">
        <is>
          <t>Другий платіж 60%</t>
        </is>
      </c>
      <c r="F81" s="10" t="n">
        <v>17220346.93</v>
      </c>
      <c r="G81" s="10" t="n">
        <v>2958852.6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>
        <is>
          <t>€334 181</t>
        </is>
      </c>
    </row>
    <row r="82">
      <c r="A82" s="8" t="n">
        <v>46276</v>
      </c>
      <c r="B82" s="9" t="n">
        <v>5910</v>
      </c>
      <c r="C82" s="9" t="inlineStr">
        <is>
          <t>SGM Brdovec, Хорватия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2869911.82</v>
      </c>
      <c r="G82" s="10" t="n">
        <v>246571.05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>
        <is>
          <t>€55 694</t>
        </is>
      </c>
    </row>
    <row r="83">
      <c r="A83" s="8" t="n">
        <v>46280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7414</v>
      </c>
      <c r="C85" s="9" t="inlineStr">
        <is>
          <t>-26 ГШ Фундамент домобудування Володимир</t>
        </is>
      </c>
      <c r="D85" s="9" t="inlineStr">
        <is>
          <t>Заянчковський</t>
        </is>
      </c>
      <c r="E85" s="9" t="inlineStr">
        <is>
          <t>Другий платіж</t>
        </is>
      </c>
      <c r="F85" s="10" t="n">
        <v>57497.5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46293</v>
      </c>
      <c r="B86" s="9" t="n">
        <v>6352</v>
      </c>
      <c r="C86" s="9" t="inlineStr">
        <is>
          <t>АБМК SCP Blade 8PS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1119237.26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46293</v>
      </c>
      <c r="B87" s="9" t="n">
        <v>6352</v>
      </c>
      <c r="C87" s="9" t="inlineStr">
        <is>
          <t>АБМК SCP Blade 8PS</t>
        </is>
      </c>
      <c r="D87" s="9" t="inlineStr">
        <is>
          <t>Донська</t>
        </is>
      </c>
      <c r="E87" s="9" t="inlineStr">
        <is>
          <t>Четвертий платіж</t>
        </is>
      </c>
      <c r="F87" s="10" t="n">
        <v>371982.96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57497.5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46304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A91" s="8" t="n">
        <v>46304</v>
      </c>
      <c r="B91" s="9" t="n">
        <v>7894</v>
      </c>
      <c r="C91" s="9" t="inlineStr">
        <is>
          <t>SCP Фора  Хотів</t>
        </is>
      </c>
      <c r="D91" s="9" t="inlineStr">
        <is>
          <t>Донська</t>
        </is>
      </c>
      <c r="E91" s="9" t="inlineStr">
        <is>
          <t>П'ятий платіж</t>
        </is>
      </c>
      <c r="F91" s="10" t="n">
        <v>737597.4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46316</v>
      </c>
      <c r="B92" s="9" t="n">
        <v>6356</v>
      </c>
      <c r="C92" s="9" t="inlineStr">
        <is>
          <t>-26 SOLAR Наземні СЕС 3 Kirill Trokhin</t>
        </is>
      </c>
      <c r="D92" s="9" t="inlineStr">
        <is>
          <t>Хома</t>
        </is>
      </c>
      <c r="E92" s="9" t="inlineStr">
        <is>
          <t>Другий платіж</t>
        </is>
      </c>
      <c r="F92" s="10" t="n">
        <v>3310287.2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€64 240</t>
        </is>
      </c>
    </row>
    <row r="93">
      <c r="A93" s="8" t="n">
        <v>46321</v>
      </c>
      <c r="B93" s="9" t="n">
        <v>6352</v>
      </c>
      <c r="C93" s="9" t="inlineStr">
        <is>
          <t>АБМК SCP Blade 8PS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651792.28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46322</v>
      </c>
      <c r="B94" s="9" t="n">
        <v>6356</v>
      </c>
      <c r="C94" s="9" t="inlineStr">
        <is>
          <t>-26 SOLAR Наземні СЕС 3 Kirill Trokhin</t>
        </is>
      </c>
      <c r="D94" s="9" t="inlineStr">
        <is>
          <t>Хома</t>
        </is>
      </c>
      <c r="E94" s="9" t="inlineStr">
        <is>
          <t>Третій платіж</t>
        </is>
      </c>
      <c r="F94" s="10" t="n">
        <v>662057.4400000001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>
        <is>
          <t>€12 848</t>
        </is>
      </c>
    </row>
    <row r="95">
      <c r="E95" s="3" t="inlineStr">
        <is>
          <t>Разом</t>
        </is>
      </c>
      <c r="F95" s="13">
        <f>SUM(F2:F94)</f>
        <v/>
      </c>
      <c r="G95" s="13">
        <f>SUM(G2:G94)</f>
        <v/>
      </c>
      <c r="H95" s="13">
        <f>SUM(H2:H94)</f>
        <v/>
      </c>
    </row>
  </sheetData>
  <autoFilter ref="A1:I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46266</v>
      </c>
      <c r="B2" s="9" t="n">
        <v>6356</v>
      </c>
      <c r="C2" s="9" t="inlineStr">
        <is>
          <t>-26 SOLAR Наземні СЕС 3 Kirill Trokhin</t>
        </is>
      </c>
      <c r="D2" s="9" t="inlineStr">
        <is>
          <t>Авансовий платіж</t>
        </is>
      </c>
      <c r="E2" s="11" t="n">
        <v>2648229.76</v>
      </c>
      <c r="F2" s="11" t="n">
        <v>0</v>
      </c>
      <c r="G2" s="11">
        <f>E2-F2</f>
        <v/>
      </c>
    </row>
    <row r="3">
      <c r="A3" s="8" t="n">
        <v>46267</v>
      </c>
      <c r="B3" s="9" t="n">
        <v>4766</v>
      </c>
      <c r="C3" s="9" t="inlineStr">
        <is>
          <t>ALTECO Carport Model Taurus 280кВт</t>
        </is>
      </c>
      <c r="D3" s="9" t="inlineStr">
        <is>
          <t>П'ятий платіж</t>
        </is>
      </c>
      <c r="E3" s="11" t="n">
        <v>1263447.42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2026-09-02T03:45:48Z</dcterms:created>
  <dcterms:modified xmlns:dcterms="http://purl.org/dc/terms/" xmlns:xsi="http://www.w3.org/2001/XMLSchema-instance" xsi:type="dcterms:W3CDTF">2026-09-02T03:45:48Z</dcterms:modified>
</cp:coreProperties>
</file>