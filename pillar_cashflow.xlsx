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надходжень'!$A$1:$I$62</definedName>
    <definedName name="_xlnm._FilterDatabase" localSheetId="3" hidden="1">'Прострочені'!$A$1:$G$6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30.06.2026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</row>
    <row r="19">
      <c r="A19" s="8" t="n">
        <v>46167</v>
      </c>
      <c r="B19" s="9" t="n">
        <v>7508</v>
      </c>
      <c r="C19" s="9" t="inlineStr">
        <is>
          <t>8602 Євген Весільна тераса Подорожнє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1245999.94</v>
      </c>
      <c r="G19" s="10" t="n">
        <v>1245999.94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</row>
    <row r="20">
      <c r="A20" s="8" t="n">
        <v>46168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Другий платіж</t>
        </is>
      </c>
      <c r="F20" s="10" t="n">
        <v>751000.0600000001</v>
      </c>
      <c r="G20" s="10" t="n">
        <v>751000.0600000001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</row>
    <row r="21">
      <c r="A21" s="8" t="n">
        <v>46169</v>
      </c>
      <c r="B21" s="9" t="n">
        <v>6842</v>
      </c>
      <c r="C21" s="9" t="inlineStr">
        <is>
          <t>2</t>
        </is>
      </c>
      <c r="D21" s="9" t="inlineStr">
        <is>
          <t>Александров</t>
        </is>
      </c>
      <c r="E21" s="9" t="inlineStr">
        <is>
          <t>Авансовий платіж</t>
        </is>
      </c>
      <c r="F21" s="10" t="n">
        <v>3308968</v>
      </c>
      <c r="G21" s="10" t="n">
        <v>3308968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</row>
    <row r="22">
      <c r="A22" s="8" t="n">
        <v>46169</v>
      </c>
      <c r="B22" s="9" t="n">
        <v>7960</v>
      </c>
      <c r="C22" s="9" t="inlineStr">
        <is>
          <t>Сірокко Sirocco вітрова ел ст Львів</t>
        </is>
      </c>
      <c r="D22" s="9" t="inlineStr">
        <is>
          <t>Іщук</t>
        </is>
      </c>
      <c r="E22" s="9" t="inlineStr">
        <is>
          <t>Авансовий платіж</t>
        </is>
      </c>
      <c r="F22" s="10" t="n">
        <v>99610.8</v>
      </c>
      <c r="G22" s="10" t="n">
        <v>99610.8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</row>
    <row r="23">
      <c r="A23" s="8" t="n">
        <v>46169</v>
      </c>
      <c r="B23" s="9" t="n">
        <v>8454</v>
      </c>
      <c r="C23" s="9" t="inlineStr">
        <is>
          <t>Олександр каркасний Верховина</t>
        </is>
      </c>
      <c r="D23" s="9" t="inlineStr">
        <is>
          <t>Донська</t>
        </is>
      </c>
      <c r="E23" s="9" t="inlineStr">
        <is>
          <t>Авансовий платіж</t>
        </is>
      </c>
      <c r="F23" s="10" t="n">
        <v>103606.2</v>
      </c>
      <c r="G23" s="10" t="n">
        <v>103606.2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</row>
    <row r="24">
      <c r="A24" s="8" t="n">
        <v>46170</v>
      </c>
      <c r="B24" s="9" t="n">
        <v>8188</v>
      </c>
      <c r="C24" s="9" t="inlineStr">
        <is>
          <t>Фундамент Ужгород Стефанія</t>
        </is>
      </c>
      <c r="D24" s="9" t="inlineStr">
        <is>
          <t>Александров</t>
        </is>
      </c>
      <c r="E24" s="9" t="inlineStr">
        <is>
          <t>Авансовий платіж</t>
        </is>
      </c>
      <c r="F24" s="10" t="n">
        <v>206200</v>
      </c>
      <c r="G24" s="10" t="n">
        <v>206200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</row>
    <row r="25">
      <c r="A25" s="8" t="n">
        <v>46170</v>
      </c>
      <c r="B25" s="9" t="n">
        <v>8454</v>
      </c>
      <c r="C25" s="9" t="inlineStr">
        <is>
          <t>Олександр каркасний Верховина</t>
        </is>
      </c>
      <c r="D25" s="9" t="inlineStr">
        <is>
          <t>Донська</t>
        </is>
      </c>
      <c r="E25" s="9" t="inlineStr">
        <is>
          <t>Другий платіж</t>
        </is>
      </c>
      <c r="F25" s="10" t="n">
        <v>69666</v>
      </c>
      <c r="G25" s="10" t="n">
        <v>69666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</row>
    <row r="26">
      <c r="A26" s="8" t="n">
        <v>46170</v>
      </c>
      <c r="B26" s="9" t="n">
        <v>8544</v>
      </c>
      <c r="C26" s="9" t="inlineStr">
        <is>
          <t>Isolar фланець Хмельницький</t>
        </is>
      </c>
      <c r="D26" s="9" t="inlineStr">
        <is>
          <t>Донська</t>
        </is>
      </c>
      <c r="E26" s="9" t="inlineStr">
        <is>
          <t>Авансовий платіж</t>
        </is>
      </c>
      <c r="F26" s="10" t="n">
        <v>261990</v>
      </c>
      <c r="G26" s="10" t="n">
        <v>261990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</row>
    <row r="27">
      <c r="A27" s="8" t="n">
        <v>46175</v>
      </c>
      <c r="B27" s="9" t="n">
        <v>5682</v>
      </c>
      <c r="C27" s="9" t="inlineStr">
        <is>
          <t>А Сцена Корчин</t>
        </is>
      </c>
      <c r="D27" s="9" t="inlineStr">
        <is>
          <t>Іщук</t>
        </is>
      </c>
      <c r="E27" s="9" t="inlineStr">
        <is>
          <t>Авансовий платіж</t>
        </is>
      </c>
      <c r="F27" s="10" t="n">
        <v>87150</v>
      </c>
      <c r="G27" s="10" t="n">
        <v>87150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</row>
    <row r="28">
      <c r="A28" s="8" t="n">
        <v>46175</v>
      </c>
      <c r="B28" s="9" t="n">
        <v>8185</v>
      </c>
      <c r="C28" s="9" t="inlineStr">
        <is>
          <t>Фундамент Hytte House Development Славське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168024</v>
      </c>
      <c r="G28" s="10" t="n">
        <v>168024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</row>
    <row r="29">
      <c r="A29" s="8" t="n">
        <v>46177</v>
      </c>
      <c r="B29" s="9" t="n">
        <v>7894</v>
      </c>
      <c r="C29" s="9" t="inlineStr">
        <is>
          <t>А Фора  SCP  32PS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1487743.97</v>
      </c>
      <c r="G29" s="10" t="n">
        <v>1487743.97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</row>
    <row r="30">
      <c r="A30" s="8" t="n">
        <v>46182</v>
      </c>
      <c r="B30" s="9" t="n">
        <v>8544</v>
      </c>
      <c r="C30" s="9" t="inlineStr">
        <is>
          <t>Isolar фланець Хмельницький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7990.8</v>
      </c>
      <c r="G30" s="10" t="n">
        <v>7990.8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</row>
    <row r="31">
      <c r="A31" s="8" t="n">
        <v>46183</v>
      </c>
      <c r="B31" s="9" t="n">
        <v>8140</v>
      </c>
      <c r="C31" s="9" t="inlineStr">
        <is>
          <t>В Газинвестпроект фундамент Киев</t>
        </is>
      </c>
      <c r="D31" s="9" t="inlineStr">
        <is>
          <t>Заянчковський</t>
        </is>
      </c>
      <c r="E31" s="9" t="inlineStr">
        <is>
          <t>Другий платіж</t>
        </is>
      </c>
      <c r="F31" s="10" t="n">
        <v>86041.2</v>
      </c>
      <c r="G31" s="10" t="n">
        <v>86041.2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</row>
    <row r="32">
      <c r="A32" s="8" t="n">
        <v>46184</v>
      </c>
      <c r="B32" s="9" t="n">
        <v>3456</v>
      </c>
      <c r="C32" s="9" t="inlineStr">
        <is>
          <t>А Підселання фундаменту</t>
        </is>
      </c>
      <c r="D32" s="9" t="inlineStr">
        <is>
          <t>Донська</t>
        </is>
      </c>
      <c r="E32" s="9" t="inlineStr">
        <is>
          <t>Другий платіж</t>
        </is>
      </c>
      <c r="F32" s="10" t="n">
        <v>783940.92</v>
      </c>
      <c r="G32" s="10" t="n">
        <v>783940.92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</row>
    <row r="33">
      <c r="A33" s="8" t="n">
        <v>46184</v>
      </c>
      <c r="B33" s="9" t="n">
        <v>8360</v>
      </c>
      <c r="C33" s="9" t="inlineStr">
        <is>
          <t>Хаджет Лебедівка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95968.3</v>
      </c>
      <c r="G33" s="10" t="n">
        <v>95968.3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</row>
    <row r="34">
      <c r="A34" s="8" t="n">
        <v>46185</v>
      </c>
      <c r="B34" s="9" t="n">
        <v>7474</v>
      </c>
      <c r="C34" s="9" t="inlineStr">
        <is>
          <t>А Головне управління Національної поліції в Одеській області  SCP  15PS</t>
        </is>
      </c>
      <c r="D34" s="9" t="inlineStr">
        <is>
          <t>Іщук</t>
        </is>
      </c>
      <c r="E34" s="9" t="inlineStr">
        <is>
          <t>П'ятий платіж</t>
        </is>
      </c>
      <c r="F34" s="10" t="n">
        <v>1749999</v>
      </c>
      <c r="G34" s="10" t="n">
        <v>1749999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</row>
    <row r="35">
      <c r="A35" s="8" t="n">
        <v>46188</v>
      </c>
      <c r="B35" s="9" t="n">
        <v>6406</v>
      </c>
      <c r="C35" s="9" t="inlineStr">
        <is>
          <t>Максим Яловий Чинадієво</t>
        </is>
      </c>
      <c r="D35" s="9" t="inlineStr">
        <is>
          <t>Александров</t>
        </is>
      </c>
      <c r="E35" s="9" t="inlineStr">
        <is>
          <t>Авансовий платіж</t>
        </is>
      </c>
      <c r="F35" s="10" t="n">
        <v>154980</v>
      </c>
      <c r="G35" s="10" t="n">
        <v>154980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</row>
    <row r="36">
      <c r="A36" s="8" t="n">
        <v>46189</v>
      </c>
      <c r="B36" s="9" t="n">
        <v>7002</v>
      </c>
      <c r="C36" s="9" t="inlineStr">
        <is>
          <t>А Фора  SCP W 24PS V1</t>
        </is>
      </c>
      <c r="D36" s="9" t="inlineStr">
        <is>
          <t>Донська</t>
        </is>
      </c>
      <c r="E36" s="9" t="inlineStr">
        <is>
          <t>Четвертий платіж</t>
        </is>
      </c>
      <c r="F36" s="10" t="n">
        <v>573945</v>
      </c>
      <c r="G36" s="10" t="n">
        <v>0</v>
      </c>
      <c r="H36" s="11">
        <f>F36-G36</f>
        <v/>
      </c>
      <c r="I36" s="9" t="inlineStr">
        <is>
          <t>прострочено</t>
        </is>
      </c>
      <c r="J36" t="inlineStr">
        <is>
          <t>2026-06</t>
        </is>
      </c>
    </row>
    <row r="37">
      <c r="A37" s="8" t="n">
        <v>46195</v>
      </c>
      <c r="B37" s="9" t="n">
        <v>8644</v>
      </c>
      <c r="C37" s="9" t="inlineStr">
        <is>
          <t>Solars ГШ 1,7+надставки 3,5</t>
        </is>
      </c>
      <c r="D37" s="9" t="inlineStr">
        <is>
          <t>Александров</t>
        </is>
      </c>
      <c r="E37" s="9" t="inlineStr">
        <is>
          <t>Авансовий платіж</t>
        </is>
      </c>
      <c r="F37" s="10" t="n">
        <v>415900</v>
      </c>
      <c r="G37" s="10" t="n">
        <v>415900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</row>
    <row r="38">
      <c r="A38" s="8" t="n">
        <v>46196</v>
      </c>
      <c r="B38" s="9" t="n">
        <v>5682</v>
      </c>
      <c r="C38" s="9" t="inlineStr">
        <is>
          <t>А Сцена Корчин</t>
        </is>
      </c>
      <c r="D38" s="9" t="inlineStr">
        <is>
          <t>Іщук</t>
        </is>
      </c>
      <c r="E38" s="9" t="inlineStr">
        <is>
          <t>Другий платіж</t>
        </is>
      </c>
      <c r="F38" s="10" t="n">
        <v>369984.96</v>
      </c>
      <c r="G38" s="10" t="n">
        <v>369984.96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</row>
    <row r="39">
      <c r="A39" s="8" t="n">
        <v>46197</v>
      </c>
      <c r="B39" s="9" t="n">
        <v>7068</v>
      </c>
      <c r="C39" s="9" t="inlineStr">
        <is>
          <t>А Remtec energy  AGM  160 TP</t>
        </is>
      </c>
      <c r="D39" s="9" t="inlineStr">
        <is>
          <t>Александров</t>
        </is>
      </c>
      <c r="E39" s="9" t="inlineStr">
        <is>
          <t>Другий платіж</t>
        </is>
      </c>
      <c r="F39" s="10" t="n">
        <v>0</v>
      </c>
      <c r="G39" s="10" t="n">
        <v>1153420</v>
      </c>
      <c r="H39" s="11">
        <f>F39-G39</f>
        <v/>
      </c>
      <c r="I39" s="9" t="inlineStr">
        <is>
          <t>очікується</t>
        </is>
      </c>
      <c r="J39" t="inlineStr">
        <is>
          <t>2026-06</t>
        </is>
      </c>
    </row>
    <row r="40">
      <c r="A40" s="8" t="n">
        <v>46197</v>
      </c>
      <c r="B40" s="9" t="n">
        <v>8360</v>
      </c>
      <c r="C40" s="9" t="inlineStr">
        <is>
          <t>Хаджет Лебедівка</t>
        </is>
      </c>
      <c r="D40" s="9" t="inlineStr">
        <is>
          <t>Донська</t>
        </is>
      </c>
      <c r="E40" s="9" t="inlineStr">
        <is>
          <t>Третій платіж</t>
        </is>
      </c>
      <c r="F40" s="10" t="n">
        <v>95968.3</v>
      </c>
      <c r="G40" s="10" t="n">
        <v>95968.3</v>
      </c>
      <c r="H40" s="11">
        <f>F40-G40</f>
        <v/>
      </c>
      <c r="I40" s="9" t="inlineStr">
        <is>
          <t>отримано</t>
        </is>
      </c>
      <c r="J40" t="inlineStr">
        <is>
          <t>2026-06</t>
        </is>
      </c>
    </row>
    <row r="41">
      <c r="A41" s="8" t="n">
        <v>46202</v>
      </c>
      <c r="B41" s="9" t="n">
        <v>6704</v>
      </c>
      <c r="C41" s="9" t="inlineStr">
        <is>
          <t>SCP Taurus 236PS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6396000</v>
      </c>
      <c r="G41" s="10" t="n">
        <v>0</v>
      </c>
      <c r="H41" s="11">
        <f>F41-G41</f>
        <v/>
      </c>
      <c r="I41" s="9" t="inlineStr">
        <is>
          <t>прострочено</t>
        </is>
      </c>
      <c r="J41" t="inlineStr">
        <is>
          <t>2026-06</t>
        </is>
      </c>
    </row>
    <row r="42">
      <c r="A42" s="8" t="n">
        <v>46203</v>
      </c>
      <c r="B42" s="9" t="n">
        <v>5870</v>
      </c>
      <c r="C42" s="9" t="inlineStr">
        <is>
          <t>Carport Airport Munich</t>
        </is>
      </c>
      <c r="D42" s="9" t="inlineStr">
        <is>
          <t>Александров</t>
        </is>
      </c>
      <c r="E42" s="9" t="inlineStr">
        <is>
          <t>Другий платіж</t>
        </is>
      </c>
      <c r="F42" s="10" t="n">
        <v>7800000</v>
      </c>
      <c r="G42" s="10" t="n">
        <v>0</v>
      </c>
      <c r="H42" s="11">
        <f>F42-G42</f>
        <v/>
      </c>
      <c r="I42" s="9" t="inlineStr">
        <is>
          <t>прострочено</t>
        </is>
      </c>
      <c r="J42" t="inlineStr">
        <is>
          <t>2026-06</t>
        </is>
      </c>
    </row>
    <row r="43">
      <c r="A43" s="8" t="n">
        <v>46203</v>
      </c>
      <c r="B43" s="9" t="n">
        <v>8185</v>
      </c>
      <c r="C43" s="9" t="inlineStr">
        <is>
          <t>Фундамент Hytte House Development Славське</t>
        </is>
      </c>
      <c r="D43" s="9" t="inlineStr">
        <is>
          <t>Донська</t>
        </is>
      </c>
      <c r="E43" s="9" t="inlineStr">
        <is>
          <t>Другий платіж</t>
        </is>
      </c>
      <c r="F43" s="10" t="n">
        <v>63313.4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120000</v>
      </c>
      <c r="G44" s="10" t="n">
        <v>20000</v>
      </c>
      <c r="H44" s="11">
        <f>F44-G44</f>
        <v/>
      </c>
      <c r="I44" s="9" t="inlineStr">
        <is>
          <t>очікується</t>
        </is>
      </c>
      <c r="J44" t="inlineStr">
        <is>
          <t>2026-07</t>
        </is>
      </c>
    </row>
    <row r="45">
      <c r="A45" s="8" t="n">
        <v>46204</v>
      </c>
      <c r="B45" s="9" t="n">
        <v>5910</v>
      </c>
      <c r="C45" s="9" t="inlineStr">
        <is>
          <t>А   AGM 2V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10136835.8</v>
      </c>
      <c r="G45" s="10" t="n">
        <v>0</v>
      </c>
      <c r="H45" s="11">
        <f>F45-G45</f>
        <v/>
      </c>
      <c r="I45" s="9" t="inlineStr">
        <is>
          <t>очікується</t>
        </is>
      </c>
      <c r="J45" t="inlineStr">
        <is>
          <t>2026-07</t>
        </is>
      </c>
    </row>
    <row r="46">
      <c r="A46" s="8" t="n">
        <v>46206</v>
      </c>
      <c r="B46" s="9" t="n">
        <v>7244</v>
      </c>
      <c r="C46" s="9" t="inlineStr">
        <is>
          <t>В Модулекс модульна будівля Чернігів</t>
        </is>
      </c>
      <c r="D46" s="9" t="inlineStr">
        <is>
          <t>Заянчковський</t>
        </is>
      </c>
      <c r="E46" s="9" t="inlineStr">
        <is>
          <t>П'ятий платіж</t>
        </is>
      </c>
      <c r="F46" s="10" t="n">
        <v>132708.6</v>
      </c>
      <c r="G46" s="10" t="n">
        <v>0</v>
      </c>
      <c r="H46" s="11">
        <f>F46-G46</f>
        <v/>
      </c>
      <c r="I46" s="9" t="inlineStr">
        <is>
          <t>очікується</t>
        </is>
      </c>
      <c r="J46" t="inlineStr">
        <is>
          <t>2026-07</t>
        </is>
      </c>
    </row>
    <row r="47">
      <c r="A47" s="8" t="n">
        <v>46209</v>
      </c>
      <c r="B47" s="9" t="n">
        <v>8188</v>
      </c>
      <c r="C47" s="9" t="inlineStr">
        <is>
          <t>Фундамент Ужгород Стефанія</t>
        </is>
      </c>
      <c r="D47" s="9" t="inlineStr">
        <is>
          <t>Александров</t>
        </is>
      </c>
      <c r="E47" s="9" t="inlineStr">
        <is>
          <t>Другий платіж</t>
        </is>
      </c>
      <c r="F47" s="10" t="n">
        <v>73926</v>
      </c>
      <c r="G47" s="10" t="n">
        <v>0</v>
      </c>
      <c r="H47" s="11">
        <f>F47-G47</f>
        <v/>
      </c>
      <c r="I47" s="9" t="inlineStr">
        <is>
          <t>очікується</t>
        </is>
      </c>
      <c r="J47" t="inlineStr">
        <is>
          <t>2026-07</t>
        </is>
      </c>
    </row>
    <row r="48">
      <c r="A48" s="8" t="n">
        <v>46210</v>
      </c>
      <c r="B48" s="9" t="n">
        <v>7002</v>
      </c>
      <c r="C48" s="9" t="inlineStr">
        <is>
          <t>А Фора  SCP W 24PS V1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126896.64</v>
      </c>
      <c r="G48" s="10" t="n">
        <v>0</v>
      </c>
      <c r="H48" s="11">
        <f>F48-G48</f>
        <v/>
      </c>
      <c r="I48" s="9" t="inlineStr">
        <is>
          <t>очікується</t>
        </is>
      </c>
      <c r="J48" t="inlineStr">
        <is>
          <t>2026-07</t>
        </is>
      </c>
    </row>
    <row r="49">
      <c r="A49" s="8" t="n">
        <v>46211</v>
      </c>
      <c r="B49" s="9" t="n">
        <v>7002</v>
      </c>
      <c r="C49" s="9" t="inlineStr">
        <is>
          <t>А Фора  SCP W 24PS V1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126896.64</v>
      </c>
      <c r="G49" s="10" t="n">
        <v>0</v>
      </c>
      <c r="H49" s="11">
        <f>F49-G49</f>
        <v/>
      </c>
      <c r="I49" s="9" t="inlineStr">
        <is>
          <t>очікується</t>
        </is>
      </c>
      <c r="J49" t="inlineStr">
        <is>
          <t>2026-07</t>
        </is>
      </c>
    </row>
    <row r="50">
      <c r="A50" s="8" t="n">
        <v>46211</v>
      </c>
      <c r="B50" s="9" t="n">
        <v>8185</v>
      </c>
      <c r="C50" s="9" t="inlineStr">
        <is>
          <t>Фундамент Hytte House Development Славське</t>
        </is>
      </c>
      <c r="D50" s="9" t="inlineStr">
        <is>
          <t>Донська</t>
        </is>
      </c>
      <c r="E50" s="9" t="inlineStr">
        <is>
          <t>Третій платіж</t>
        </is>
      </c>
      <c r="F50" s="10" t="n">
        <v>63313.4</v>
      </c>
      <c r="G50" s="10" t="n">
        <v>0</v>
      </c>
      <c r="H50" s="11">
        <f>F50-G50</f>
        <v/>
      </c>
      <c r="I50" s="9" t="inlineStr">
        <is>
          <t>очікується</t>
        </is>
      </c>
      <c r="J50" t="inlineStr">
        <is>
          <t>2026-07</t>
        </is>
      </c>
    </row>
    <row r="51">
      <c r="A51" s="8" t="n">
        <v>46212</v>
      </c>
      <c r="B51" s="9" t="n">
        <v>6406</v>
      </c>
      <c r="C51" s="9" t="inlineStr">
        <is>
          <t>Максим Яловий Чинадієво</t>
        </is>
      </c>
      <c r="D51" s="9" t="inlineStr">
        <is>
          <t>Александров</t>
        </is>
      </c>
      <c r="E51" s="9" t="inlineStr">
        <is>
          <t>Другий платіж</t>
        </is>
      </c>
      <c r="F51" s="10" t="n">
        <v>218602</v>
      </c>
      <c r="G51" s="10" t="n">
        <v>0</v>
      </c>
      <c r="H51" s="11">
        <f>F51-G51</f>
        <v/>
      </c>
      <c r="I51" s="9" t="inlineStr">
        <is>
          <t>очікується</t>
        </is>
      </c>
      <c r="J51" t="inlineStr">
        <is>
          <t>2026-07</t>
        </is>
      </c>
    </row>
    <row r="52">
      <c r="A52" s="8" t="n">
        <v>46225</v>
      </c>
      <c r="B52" s="9" t="n">
        <v>3456</v>
      </c>
      <c r="C52" s="9" t="inlineStr">
        <is>
          <t>А Підселання фундаменту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335974.68</v>
      </c>
      <c r="G52" s="10" t="n">
        <v>0</v>
      </c>
      <c r="H52" s="11">
        <f>F52-G52</f>
        <v/>
      </c>
      <c r="I52" s="9" t="inlineStr">
        <is>
          <t>очікується</t>
        </is>
      </c>
      <c r="J52" t="inlineStr">
        <is>
          <t>2026-07</t>
        </is>
      </c>
    </row>
    <row r="53">
      <c r="A53" s="8" t="n">
        <v>46225</v>
      </c>
      <c r="B53" s="9" t="n">
        <v>8008</v>
      </c>
      <c r="C53" s="9" t="inlineStr">
        <is>
          <t>Модулі Григорівка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178088.4</v>
      </c>
      <c r="G53" s="10" t="n">
        <v>178088.4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</row>
    <row r="54">
      <c r="A54" s="8" t="n">
        <v>46228</v>
      </c>
      <c r="B54" s="9" t="n">
        <v>5910</v>
      </c>
      <c r="C54" s="9" t="inlineStr">
        <is>
          <t>А   AGM 2V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15929313.4</v>
      </c>
      <c r="G54" s="10" t="n">
        <v>0</v>
      </c>
      <c r="H54" s="11">
        <f>F54-G54</f>
        <v/>
      </c>
      <c r="I54" s="9" t="inlineStr">
        <is>
          <t>очікується</t>
        </is>
      </c>
      <c r="J54" t="inlineStr">
        <is>
          <t>2026-07</t>
        </is>
      </c>
    </row>
    <row r="55">
      <c r="A55" s="8" t="n">
        <v>46231</v>
      </c>
      <c r="B55" s="9" t="n">
        <v>7894</v>
      </c>
      <c r="C55" s="9" t="inlineStr">
        <is>
          <t>А Фора  SCP  32PS</t>
        </is>
      </c>
      <c r="D55" s="9" t="inlineStr">
        <is>
          <t>Донська</t>
        </is>
      </c>
      <c r="E55" s="9" t="inlineStr">
        <is>
          <t>Четвертий платіж</t>
        </is>
      </c>
      <c r="F55" s="10" t="n">
        <v>737597.4</v>
      </c>
      <c r="G55" s="10" t="n">
        <v>0</v>
      </c>
      <c r="H55" s="11">
        <f>F55-G55</f>
        <v/>
      </c>
      <c r="I55" s="9" t="inlineStr">
        <is>
          <t>очікується</t>
        </is>
      </c>
      <c r="J55" t="inlineStr">
        <is>
          <t>2026-07</t>
        </is>
      </c>
    </row>
    <row r="56">
      <c r="A56" s="8" t="n">
        <v>46233</v>
      </c>
      <c r="B56" s="9" t="n">
        <v>8008</v>
      </c>
      <c r="C56" s="9" t="inlineStr">
        <is>
          <t>Модулі Григорівка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178088.4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</row>
    <row r="57">
      <c r="A57" s="8" t="n">
        <v>46234</v>
      </c>
      <c r="B57" s="9" t="n">
        <v>7894</v>
      </c>
      <c r="C57" s="9" t="inlineStr">
        <is>
          <t>А Фора  SCP  32PS</t>
        </is>
      </c>
      <c r="D57" s="9" t="inlineStr">
        <is>
          <t>Донська</t>
        </is>
      </c>
      <c r="E57" s="9" t="inlineStr">
        <is>
          <t>Другий платіж</t>
        </is>
      </c>
      <c r="F57" s="10" t="n">
        <v>185968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</row>
    <row r="58">
      <c r="A58" s="8" t="n">
        <v>46245</v>
      </c>
      <c r="B58" s="9" t="n">
        <v>7894</v>
      </c>
      <c r="C58" s="9" t="inlineStr">
        <is>
          <t>А Фора  SCP  32PS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185967.99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2026-08</t>
        </is>
      </c>
    </row>
    <row r="59">
      <c r="A59" s="8" t="n">
        <v>46260</v>
      </c>
      <c r="B59" s="9" t="n">
        <v>5910</v>
      </c>
      <c r="C59" s="9" t="inlineStr">
        <is>
          <t>А   AGM 2V</t>
        </is>
      </c>
      <c r="D59" s="9" t="inlineStr">
        <is>
          <t>Донська</t>
        </is>
      </c>
      <c r="E59" s="9" t="inlineStr">
        <is>
          <t>Третій платіж</t>
        </is>
      </c>
      <c r="F59" s="10" t="n">
        <v>2896238.8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2026-08</t>
        </is>
      </c>
    </row>
    <row r="60">
      <c r="A60" s="8" t="n">
        <v>46260</v>
      </c>
      <c r="B60" s="9" t="n">
        <v>7002</v>
      </c>
      <c r="C60" s="9" t="inlineStr">
        <is>
          <t>А Фора  SCP W 24PS V1</t>
        </is>
      </c>
      <c r="D60" s="9" t="inlineStr">
        <is>
          <t>Донська</t>
        </is>
      </c>
      <c r="E60" s="9" t="inlineStr">
        <is>
          <t>П'ятий платіж</t>
        </is>
      </c>
      <c r="F60" s="10" t="n">
        <v>573945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2026-08</t>
        </is>
      </c>
    </row>
    <row r="61">
      <c r="A61" s="8" t="n">
        <v>46282</v>
      </c>
      <c r="B61" s="9" t="n">
        <v>7894</v>
      </c>
      <c r="C61" s="9" t="inlineStr">
        <is>
          <t>А Фора  SCP  32PS</t>
        </is>
      </c>
      <c r="D61" s="9" t="inlineStr">
        <is>
          <t>Донська</t>
        </is>
      </c>
      <c r="E61" s="9" t="inlineStr">
        <is>
          <t>П'ятий платіж</t>
        </is>
      </c>
      <c r="F61" s="10" t="n">
        <v>737597.4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2026-09</t>
        </is>
      </c>
    </row>
    <row r="62">
      <c r="A62" s="8" t="n">
        <v>46286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4880000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2026-09</t>
        </is>
      </c>
    </row>
    <row r="63">
      <c r="E63" s="3" t="inlineStr">
        <is>
          <t>Разом</t>
        </is>
      </c>
      <c r="F63" s="12">
        <f>SUM(F2:F62)</f>
        <v/>
      </c>
      <c r="G63" s="12">
        <f>SUM(G2:G62)</f>
        <v/>
      </c>
      <c r="H63" s="12">
        <f>SUM(H2:H62)</f>
        <v/>
      </c>
    </row>
  </sheetData>
  <autoFilter ref="A1:I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3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3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3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3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3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3">
        <f>IF(B7=0,0,C7/B7)</f>
        <v/>
      </c>
    </row>
    <row r="8">
      <c r="A8" s="3" t="inlineStr">
        <is>
          <t>Разом</t>
        </is>
      </c>
      <c r="B8" s="12">
        <f>SUM(B2:B7)</f>
        <v/>
      </c>
      <c r="C8" s="12">
        <f>SUM(C2:C7)</f>
        <v/>
      </c>
      <c r="D8" s="12">
        <f>SUM(D2:D7)</f>
        <v/>
      </c>
      <c r="E8" s="14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7800000</v>
      </c>
      <c r="F2" s="11" t="n">
        <v>0</v>
      </c>
      <c r="G2" s="11">
        <f>E2-F2</f>
        <v/>
      </c>
    </row>
    <row r="3">
      <c r="A3" s="8" t="n">
        <v>46202</v>
      </c>
      <c r="B3" s="9" t="n">
        <v>6704</v>
      </c>
      <c r="C3" s="9" t="inlineStr">
        <is>
          <t>SCP Taurus 236PS</t>
        </is>
      </c>
      <c r="D3" s="9" t="inlineStr">
        <is>
          <t>Другий платіж</t>
        </is>
      </c>
      <c r="E3" s="11" t="n">
        <v>6396000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46189</v>
      </c>
      <c r="B5" s="9" t="n">
        <v>7002</v>
      </c>
      <c r="C5" s="9" t="inlineStr">
        <is>
          <t>А Фора  SCP W 24PS V1</t>
        </is>
      </c>
      <c r="D5" s="9" t="inlineStr">
        <is>
          <t>Четвертий платіж</t>
        </is>
      </c>
      <c r="E5" s="11" t="n">
        <v>573945</v>
      </c>
      <c r="F5" s="11" t="n">
        <v>0</v>
      </c>
      <c r="G5" s="11">
        <f>E5-F5</f>
        <v/>
      </c>
    </row>
    <row r="6">
      <c r="A6" s="8" t="n">
        <v>46203</v>
      </c>
      <c r="B6" s="9" t="n">
        <v>8185</v>
      </c>
      <c r="C6" s="9" t="inlineStr">
        <is>
          <t>Фундамент Hytte House Development Славське</t>
        </is>
      </c>
      <c r="D6" s="9" t="inlineStr">
        <is>
          <t>Другий платіж</t>
        </is>
      </c>
      <c r="E6" s="11" t="n">
        <v>63313.4</v>
      </c>
      <c r="F6" s="11" t="n">
        <v>0</v>
      </c>
      <c r="G6" s="11">
        <f>E6-F6</f>
        <v/>
      </c>
    </row>
    <row r="7">
      <c r="D7" s="3" t="inlineStr">
        <is>
          <t>Разом</t>
        </is>
      </c>
      <c r="E7" s="12">
        <f>SUM(E2:E6)</f>
        <v/>
      </c>
      <c r="F7" s="12">
        <f>SUM(F2:F6)</f>
        <v/>
      </c>
      <c r="G7" s="12">
        <f>SUM(G2:G6)</f>
        <v/>
      </c>
    </row>
  </sheetData>
  <autoFilter ref="A1:G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2026-06-30T08:40:33Z</dcterms:created>
  <dcterms:modified xmlns:dcterms="http://purl.org/dc/terms/" xmlns:xsi="http://www.w3.org/2001/XMLSchema-instance" xsi:type="dcterms:W3CDTF">2026-06-30T08:40:33Z</dcterms:modified>
</cp:coreProperties>
</file>