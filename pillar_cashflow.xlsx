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надходжень'!$A$1:$I$99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15.09.2026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2576000</v>
      </c>
      <c r="G10" s="10" t="n">
        <v>2576000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5152000</v>
      </c>
      <c r="G11" s="10" t="n">
        <v>5152000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1854720</v>
      </c>
      <c r="G39" s="10" t="n">
        <v>1854720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453376</v>
      </c>
      <c r="G44" s="10" t="n">
        <v>453376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8608476.800000001</v>
      </c>
      <c r="G54" s="10" t="n">
        <v>8608476.800000001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4054624</v>
      </c>
      <c r="G57" s="10" t="n">
        <v>4054624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4931752</v>
      </c>
      <c r="G66" s="10" t="n">
        <v>4931752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750904</v>
      </c>
      <c r="G67" s="10" t="n">
        <v>750904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557188.8</v>
      </c>
      <c r="G69" s="10" t="n">
        <v>557188.8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901600</v>
      </c>
      <c r="G70" s="10" t="n">
        <v>901600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2805573.12</v>
      </c>
      <c r="G78" s="10" t="n">
        <v>2805573.12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1557192</v>
      </c>
      <c r="G80" s="10" t="n">
        <v>1557192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46279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/>
    </row>
    <row r="82">
      <c r="A82" s="8" t="n">
        <v>46279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Шостий платіж (Допка)</t>
        </is>
      </c>
      <c r="F82" s="10" t="n">
        <v>257000</v>
      </c>
      <c r="G82" s="10" t="n">
        <v>0</v>
      </c>
      <c r="H82" s="11">
        <f>F82-G82</f>
        <v/>
      </c>
      <c r="I82" s="9" t="inlineStr">
        <is>
          <t>прострочено</t>
        </is>
      </c>
      <c r="J82" t="inlineStr">
        <is>
          <t>2026-09</t>
        </is>
      </c>
      <c r="K82" s="12" t="inlineStr"/>
    </row>
    <row r="83">
      <c r="A83" s="8" t="n">
        <v>46281</v>
      </c>
      <c r="B83" s="9" t="n">
        <v>8898</v>
      </c>
      <c r="C83" s="9" t="inlineStr">
        <is>
          <t>Григорівка №3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188043.75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46286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17217005.12</v>
      </c>
      <c r="G85" s="10" t="n">
        <v>7180909.12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2869354.88</v>
      </c>
      <c r="G86" s="10" t="n">
        <v>455591.36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46286</v>
      </c>
      <c r="B87" s="9" t="n">
        <v>7414</v>
      </c>
      <c r="C87" s="9" t="inlineStr">
        <is>
          <t>-26 ГШ Фундамент домобудування Володимир</t>
        </is>
      </c>
      <c r="D87" s="9" t="inlineStr">
        <is>
          <t>Заянчковський</t>
        </is>
      </c>
      <c r="E87" s="9" t="inlineStr">
        <is>
          <t>Третій платіж</t>
        </is>
      </c>
      <c r="F87" s="10" t="n">
        <v>44148.4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1119237.26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7244</v>
      </c>
      <c r="C90" s="9" t="inlineStr">
        <is>
          <t>В Модулекс модульна будівля Чернігів</t>
        </is>
      </c>
      <c r="D90" s="9" t="inlineStr">
        <is>
          <t>Заянчковський</t>
        </is>
      </c>
      <c r="E90" s="9" t="inlineStr">
        <is>
          <t>П'ятий платіж</t>
        </is>
      </c>
      <c r="F90" s="10" t="n">
        <v>132708.6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7414</v>
      </c>
      <c r="C91" s="9" t="inlineStr">
        <is>
          <t>-26 ГШ Фундамент домобудування Володимир</t>
        </is>
      </c>
      <c r="D91" s="9" t="inlineStr">
        <is>
          <t>Заянчковський</t>
        </is>
      </c>
      <c r="E91" s="9" t="inlineStr">
        <is>
          <t>Четвертий платіж</t>
        </is>
      </c>
      <c r="F91" s="10" t="n">
        <v>57497.5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46297</v>
      </c>
      <c r="B92" s="9" t="n">
        <v>4766</v>
      </c>
      <c r="C92" s="9" t="inlineStr">
        <is>
          <t>ALTECO Carport Model Taurus 280кВт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1263447.42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46300</v>
      </c>
      <c r="B93" s="9" t="n">
        <v>6024</v>
      </c>
      <c r="C93" s="9" t="inlineStr">
        <is>
          <t>-26 ГШ с. Липовиця Черніг. обл. Модулекс</t>
        </is>
      </c>
      <c r="D93" s="9" t="inlineStr">
        <is>
          <t>Заянчковський</t>
        </is>
      </c>
      <c r="E93" s="9" t="inlineStr">
        <is>
          <t>Другий платіж</t>
        </is>
      </c>
      <c r="F93" s="10" t="n">
        <v>246402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Третій платіж</t>
        </is>
      </c>
      <c r="F94" s="10" t="n">
        <v>3999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46311</v>
      </c>
      <c r="B95" s="9" t="n">
        <v>8497</v>
      </c>
      <c r="C95" s="9" t="inlineStr">
        <is>
          <t>LSG 110MWt   50 points</t>
        </is>
      </c>
      <c r="D95" s="9" t="inlineStr">
        <is>
          <t>Іщук</t>
        </is>
      </c>
      <c r="E95" s="9" t="inlineStr">
        <is>
          <t>Другий платіж</t>
        </is>
      </c>
      <c r="F95" s="10" t="n">
        <v>519064.0000000001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€10 075</t>
        </is>
      </c>
    </row>
    <row r="96">
      <c r="A96" s="8" t="n">
        <v>46316</v>
      </c>
      <c r="B96" s="9" t="n">
        <v>6356</v>
      </c>
      <c r="C96" s="9" t="inlineStr">
        <is>
          <t>-26 SOLAR Наземні СЕС 3 Kirill Trokhin</t>
        </is>
      </c>
      <c r="D96" s="9" t="inlineStr">
        <is>
          <t>Хома</t>
        </is>
      </c>
      <c r="E96" s="9" t="inlineStr">
        <is>
          <t>Другий платіж</t>
        </is>
      </c>
      <c r="F96" s="10" t="n">
        <v>3309644.8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>
        <is>
          <t>€64 240</t>
        </is>
      </c>
    </row>
    <row r="97">
      <c r="A97" s="8" t="n">
        <v>46317</v>
      </c>
      <c r="B97" s="9" t="n">
        <v>7894</v>
      </c>
      <c r="C97" s="9" t="inlineStr">
        <is>
          <t>SCP Фора  Хотів</t>
        </is>
      </c>
      <c r="D97" s="9" t="inlineStr">
        <is>
          <t>Донська</t>
        </is>
      </c>
      <c r="E97" s="9" t="inlineStr">
        <is>
          <t>П'ятий платіж</t>
        </is>
      </c>
      <c r="F97" s="10" t="n">
        <v>737597.4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46321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П'ятий платіж</t>
        </is>
      </c>
      <c r="F98" s="10" t="n">
        <v>651792.28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46322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Третій платіж</t>
        </is>
      </c>
      <c r="F99" s="10" t="n">
        <v>661928.9600000001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€12 848</t>
        </is>
      </c>
    </row>
    <row r="100">
      <c r="E100" s="3" t="inlineStr">
        <is>
          <t>Разом</t>
        </is>
      </c>
      <c r="F100" s="13">
        <f>SUM(F2:F99)</f>
        <v/>
      </c>
      <c r="G100" s="13">
        <f>SUM(G2:G99)</f>
        <v/>
      </c>
      <c r="H100" s="13">
        <f>SUM(H2:H99)</f>
        <v/>
      </c>
    </row>
  </sheetData>
  <autoFilter ref="A1:I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46279</v>
      </c>
      <c r="B2" s="9" t="n">
        <v>7002</v>
      </c>
      <c r="C2" s="9" t="inlineStr">
        <is>
          <t>Фора SCP Млиново</t>
        </is>
      </c>
      <c r="D2" s="9" t="inlineStr">
        <is>
          <t>П'ятий платіж</t>
        </is>
      </c>
      <c r="E2" s="11" t="n">
        <v>573945</v>
      </c>
      <c r="F2" s="11" t="n">
        <v>0</v>
      </c>
      <c r="G2" s="11">
        <f>E2-F2</f>
        <v/>
      </c>
    </row>
    <row r="3">
      <c r="A3" s="8" t="n">
        <v>46279</v>
      </c>
      <c r="B3" s="9" t="n">
        <v>7002</v>
      </c>
      <c r="C3" s="9" t="inlineStr">
        <is>
          <t>Фора SCP Млиново</t>
        </is>
      </c>
      <c r="D3" s="9" t="inlineStr">
        <is>
          <t>Шостий платіж (Допка)</t>
        </is>
      </c>
      <c r="E3" s="11" t="n">
        <v>257000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2026-09-15T04:12:13Z</dcterms:created>
  <dcterms:modified xmlns:dcterms="http://purl.org/dc/terms/" xmlns:xsi="http://www.w3.org/2001/XMLSchema-instance" xsi:type="dcterms:W3CDTF">2026-09-15T04:12:13Z</dcterms:modified>
</cp:coreProperties>
</file>