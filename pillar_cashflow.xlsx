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надходжень'!$A$1:$I$71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23.07.2026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/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1872000</v>
      </c>
      <c r="G42" s="10" t="n">
        <v>1872000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/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7800000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/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46212</v>
      </c>
      <c r="B47" s="9" t="n">
        <v>6406</v>
      </c>
      <c r="C47" s="9" t="inlineStr">
        <is>
          <t>Максим Яловий Чинадієво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218602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46213</v>
      </c>
      <c r="B49" s="9" t="n">
        <v>8454</v>
      </c>
      <c r="C49" s="9" t="inlineStr">
        <is>
          <t>Олександр каркасний Верховина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69666</v>
      </c>
      <c r="G49" s="10" t="n">
        <v>69666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46216</v>
      </c>
      <c r="B50" s="9" t="n">
        <v>8496</v>
      </c>
      <c r="C50" s="9" t="inlineStr">
        <is>
          <t>А Greensource  SGM  110MWp</t>
        </is>
      </c>
      <c r="D50" s="9" t="inlineStr">
        <is>
          <t>Іщук</t>
        </is>
      </c>
      <c r="E50" s="9" t="inlineStr">
        <is>
          <t>Авансовий платіж</t>
        </is>
      </c>
      <c r="F50" s="10" t="n">
        <v>449328</v>
      </c>
      <c r="G50" s="10" t="n">
        <v>449328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>
        <is>
          <t>€8 800</t>
        </is>
      </c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Четвертий платіж</t>
        </is>
      </c>
      <c r="F56" s="10" t="n">
        <v>573945</v>
      </c>
      <c r="G56" s="10" t="n">
        <v>573945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46224</v>
      </c>
      <c r="B57" s="9" t="n">
        <v>4766</v>
      </c>
      <c r="C57" s="9" t="inlineStr">
        <is>
          <t>ALTECO Carport Model Taurus 280кВт</t>
        </is>
      </c>
      <c r="D57" s="9" t="inlineStr">
        <is>
          <t>Заянчковський</t>
        </is>
      </c>
      <c r="E57" s="9" t="inlineStr">
        <is>
          <t>Третій платіж</t>
        </is>
      </c>
      <c r="F57" s="10" t="n">
        <v>4368478.98</v>
      </c>
      <c r="G57" s="10" t="n">
        <v>4368478.98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46225</v>
      </c>
      <c r="B58" s="9" t="n">
        <v>3456</v>
      </c>
      <c r="C58" s="9" t="inlineStr">
        <is>
          <t>А Підселання фундаменту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335974.68</v>
      </c>
      <c r="G58" s="10" t="n">
        <v>0</v>
      </c>
      <c r="H58" s="11">
        <f>F58-G58</f>
        <v/>
      </c>
      <c r="I58" s="9" t="inlineStr">
        <is>
          <t>прострочено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5910</v>
      </c>
      <c r="C59" s="9" t="inlineStr">
        <is>
          <t>А   AGM 2V</t>
        </is>
      </c>
      <c r="D59" s="9" t="inlineStr">
        <is>
          <t>Донська</t>
        </is>
      </c>
      <c r="E59" s="9" t="inlineStr">
        <is>
          <t>Авансовий платіж</t>
        </is>
      </c>
      <c r="F59" s="10" t="n">
        <v>8531651.142000001</v>
      </c>
      <c r="G59" s="10" t="n">
        <v>0</v>
      </c>
      <c r="H59" s="11">
        <f>F59-G59</f>
        <v/>
      </c>
      <c r="I59" s="9" t="inlineStr">
        <is>
          <t>прострочено</t>
        </is>
      </c>
      <c r="J59" t="inlineStr">
        <is>
          <t>2026-07</t>
        </is>
      </c>
      <c r="K59" s="12" t="inlineStr">
        <is>
          <t>€167 091</t>
        </is>
      </c>
    </row>
    <row r="60">
      <c r="A60" s="8" t="n">
        <v>46231</v>
      </c>
      <c r="B60" s="9" t="n">
        <v>7894</v>
      </c>
      <c r="C60" s="9" t="inlineStr">
        <is>
          <t>А Фора  SCP  32PS</t>
        </is>
      </c>
      <c r="D60" s="9" t="inlineStr">
        <is>
          <t>Донська</t>
        </is>
      </c>
      <c r="E60" s="9" t="inlineStr">
        <is>
          <t>Четвертий платіж</t>
        </is>
      </c>
      <c r="F60" s="10" t="n">
        <v>737597.4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7068</v>
      </c>
      <c r="C61" s="9" t="inlineStr">
        <is>
          <t>А Remtec energy  AGM  160 TP</t>
        </is>
      </c>
      <c r="D61" s="9" t="inlineStr">
        <is>
          <t>Александров</t>
        </is>
      </c>
      <c r="E61" s="9" t="inlineStr">
        <is>
          <t>Третій платіж</t>
        </is>
      </c>
      <c r="F61" s="10" t="n">
        <v>0</v>
      </c>
      <c r="G61" s="10" t="n">
        <v>2794670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46234</v>
      </c>
      <c r="B62" s="9" t="n">
        <v>7244</v>
      </c>
      <c r="C62" s="9" t="inlineStr">
        <is>
          <t>В Модулекс модульна будівля Чернігів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132708.6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2026-07</t>
        </is>
      </c>
      <c r="K62" s="12" t="inlineStr"/>
    </row>
    <row r="63">
      <c r="A63" s="8" t="n">
        <v>46237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Другий платіж</t>
        </is>
      </c>
      <c r="F63" s="10" t="n">
        <v>185968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46237</v>
      </c>
      <c r="B64" s="9" t="n">
        <v>8878</v>
      </c>
      <c r="C64" s="9" t="inlineStr">
        <is>
          <t>А ТОВ КОМПАНІЯ ВОЛЬТ СЕРВІС ГРУП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12823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46240</v>
      </c>
      <c r="B65" s="9" t="n">
        <v>5910</v>
      </c>
      <c r="C65" s="9" t="inlineStr">
        <is>
          <t>А   AGM 2V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17063302.284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>
        <is>
          <t>€334 181</t>
        </is>
      </c>
    </row>
    <row r="66">
      <c r="A66" s="8" t="n">
        <v>46245</v>
      </c>
      <c r="B66" s="9" t="n">
        <v>7894</v>
      </c>
      <c r="C66" s="9" t="inlineStr">
        <is>
          <t>А Фора  SCP  32PS</t>
        </is>
      </c>
      <c r="D66" s="9" t="inlineStr">
        <is>
          <t>Донська</t>
        </is>
      </c>
      <c r="E66" s="9" t="inlineStr">
        <is>
          <t>Третій платіж</t>
        </is>
      </c>
      <c r="F66" s="10" t="n">
        <v>185967.99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46260</v>
      </c>
      <c r="B67" s="9" t="n">
        <v>7002</v>
      </c>
      <c r="C67" s="9" t="inlineStr">
        <is>
          <t>А Фора  SCP W 24PS V1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573945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46266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Четвертий платіж</t>
        </is>
      </c>
      <c r="F68" s="10" t="n">
        <v>128100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A69" s="8" t="n">
        <v>46267</v>
      </c>
      <c r="B69" s="9" t="n">
        <v>4766</v>
      </c>
      <c r="C69" s="9" t="inlineStr">
        <is>
          <t>ALTECO Carport Model Taurus 280кВт</t>
        </is>
      </c>
      <c r="D69" s="9" t="inlineStr">
        <is>
          <t>Заянчковський</t>
        </is>
      </c>
      <c r="E69" s="9" t="inlineStr">
        <is>
          <t>П'ятий платіж</t>
        </is>
      </c>
      <c r="F69" s="10" t="n">
        <v>1199397.42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2026-09</t>
        </is>
      </c>
      <c r="K69" s="12" t="inlineStr"/>
    </row>
    <row r="70">
      <c r="A70" s="8" t="n">
        <v>46272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2843883.714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2026-09</t>
        </is>
      </c>
      <c r="K70" s="12" t="inlineStr">
        <is>
          <t>€55 697</t>
        </is>
      </c>
    </row>
    <row r="71">
      <c r="A71" s="8" t="n">
        <v>46282</v>
      </c>
      <c r="B71" s="9" t="n">
        <v>7894</v>
      </c>
      <c r="C71" s="9" t="inlineStr">
        <is>
          <t>А Фора  SCP  32PS</t>
        </is>
      </c>
      <c r="D71" s="9" t="inlineStr">
        <is>
          <t>Донська</t>
        </is>
      </c>
      <c r="E71" s="9" t="inlineStr">
        <is>
          <t>П'ятий платіж</t>
        </is>
      </c>
      <c r="F71" s="10" t="n">
        <v>737597.4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2026-09</t>
        </is>
      </c>
      <c r="K71" s="12" t="inlineStr"/>
    </row>
    <row r="72">
      <c r="E72" s="3" t="inlineStr">
        <is>
          <t>Разом</t>
        </is>
      </c>
      <c r="F72" s="13">
        <f>SUM(F2:F71)</f>
        <v/>
      </c>
      <c r="G72" s="13">
        <f>SUM(G2:G71)</f>
        <v/>
      </c>
      <c r="H72" s="13">
        <f>SUM(H2:H71)</f>
        <v/>
      </c>
    </row>
  </sheetData>
  <autoFilter ref="A1:I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46225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8531651.142000001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4524000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46225</v>
      </c>
      <c r="B6" s="9" t="n">
        <v>3456</v>
      </c>
      <c r="C6" s="9" t="inlineStr">
        <is>
          <t>А Підселання фундаменту</t>
        </is>
      </c>
      <c r="D6" s="9" t="inlineStr">
        <is>
          <t>Третій платіж</t>
        </is>
      </c>
      <c r="E6" s="11" t="n">
        <v>335974.68</v>
      </c>
      <c r="F6" s="11" t="n">
        <v>0</v>
      </c>
      <c r="G6" s="11">
        <f>E6-F6</f>
        <v/>
      </c>
    </row>
    <row r="7">
      <c r="A7" s="8" t="n">
        <v>46212</v>
      </c>
      <c r="B7" s="9" t="n">
        <v>6406</v>
      </c>
      <c r="C7" s="9" t="inlineStr">
        <is>
          <t>Максим Яловий Чинадієво</t>
        </is>
      </c>
      <c r="D7" s="9" t="inlineStr">
        <is>
          <t>Другий платіж</t>
        </is>
      </c>
      <c r="E7" s="11" t="n">
        <v>218602</v>
      </c>
      <c r="F7" s="11" t="n">
        <v>0</v>
      </c>
      <c r="G7" s="11">
        <f>E7-F7</f>
        <v/>
      </c>
    </row>
    <row r="8">
      <c r="A8" s="8" t="n">
        <v>46213</v>
      </c>
      <c r="B8" s="9" t="n">
        <v>8188</v>
      </c>
      <c r="C8" s="9" t="inlineStr">
        <is>
          <t>Фундамент Ужгород Стефанія</t>
        </is>
      </c>
      <c r="D8" s="9" t="inlineStr">
        <is>
          <t>Другий платіж</t>
        </is>
      </c>
      <c r="E8" s="11" t="n">
        <v>73926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2026-07-23T03:36:54Z</dcterms:created>
  <dcterms:modified xmlns:dcterms="http://purl.org/dc/terms/" xmlns:xsi="http://www.w3.org/2001/XMLSchema-instance" xsi:type="dcterms:W3CDTF">2026-07-23T03:36:54Z</dcterms:modified>
</cp:coreProperties>
</file>