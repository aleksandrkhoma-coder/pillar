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надходжень'!$A$1:$I$65</definedName>
    <definedName name="_xlnm._FilterDatabase" localSheetId="3" hidden="1">'Прострочені'!$A$1:$G$12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</row>
    <row r="44">
      <c r="A44" s="8" t="n">
        <v>46206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Другий платіж</t>
        </is>
      </c>
      <c r="F44" s="10" t="n">
        <v>100000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8188</v>
      </c>
      <c r="C45" s="9" t="inlineStr">
        <is>
          <t>Фундамент Ужгород Стефанія</t>
        </is>
      </c>
      <c r="D45" s="9" t="inlineStr">
        <is>
          <t>Александров</t>
        </is>
      </c>
      <c r="E45" s="9" t="inlineStr">
        <is>
          <t>Другий платіж</t>
        </is>
      </c>
      <c r="F45" s="10" t="n">
        <v>73926</v>
      </c>
      <c r="G45" s="10" t="n">
        <v>0</v>
      </c>
      <c r="H45" s="11">
        <f>F45-G45</f>
        <v/>
      </c>
      <c r="I45" s="9" t="inlineStr">
        <is>
          <t>прострочено</t>
        </is>
      </c>
      <c r="J45" t="inlineStr">
        <is>
          <t>2026-07</t>
        </is>
      </c>
    </row>
    <row r="46">
      <c r="A46" s="8" t="n">
        <v>46212</v>
      </c>
      <c r="B46" s="9" t="n">
        <v>6406</v>
      </c>
      <c r="C46" s="9" t="inlineStr">
        <is>
          <t>Максим Яловий Чинадієво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218602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</row>
    <row r="47">
      <c r="A47" s="8" t="n">
        <v>46213</v>
      </c>
      <c r="B47" s="9" t="n">
        <v>5910</v>
      </c>
      <c r="C47" s="9" t="inlineStr">
        <is>
          <t>А   AGM 2V</t>
        </is>
      </c>
      <c r="D47" s="9" t="inlineStr">
        <is>
          <t>Донська</t>
        </is>
      </c>
      <c r="E47" s="9" t="inlineStr">
        <is>
          <t>Авансовий платіж</t>
        </is>
      </c>
      <c r="F47" s="10" t="n">
        <v>8517966.4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</row>
    <row r="48">
      <c r="A48" s="8" t="n">
        <v>46213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</row>
    <row r="50">
      <c r="A50" s="8" t="n">
        <v>46213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</row>
    <row r="51">
      <c r="A51" s="8" t="n">
        <v>46214</v>
      </c>
      <c r="B51" s="9" t="n">
        <v>7002</v>
      </c>
      <c r="C51" s="9" t="inlineStr">
        <is>
          <t>А Фора  SCP W 24PS V1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</row>
    <row r="52">
      <c r="A52" s="8" t="n">
        <v>46225</v>
      </c>
      <c r="B52" s="9" t="n">
        <v>3456</v>
      </c>
      <c r="C52" s="9" t="inlineStr">
        <is>
          <t>А Підселання фундаменту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335974.68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8008</v>
      </c>
      <c r="C53" s="9" t="inlineStr">
        <is>
          <t>Модулі Григорівка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178088.4</v>
      </c>
      <c r="G53" s="10" t="n">
        <v>178088.4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</row>
    <row r="54">
      <c r="A54" s="8" t="n">
        <v>46228</v>
      </c>
      <c r="B54" s="9" t="n">
        <v>5910</v>
      </c>
      <c r="C54" s="9" t="inlineStr">
        <is>
          <t>А   AGM 2V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17035932.8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7068</v>
      </c>
      <c r="C57" s="9" t="inlineStr">
        <is>
          <t>А Remtec energy  AGM  160 TP</t>
        </is>
      </c>
      <c r="D57" s="9" t="inlineStr">
        <is>
          <t>Александров</t>
        </is>
      </c>
      <c r="E57" s="9" t="inlineStr">
        <is>
          <t>Третій платіж</t>
        </is>
      </c>
      <c r="F57" s="10" t="n">
        <v>0</v>
      </c>
      <c r="G57" s="10" t="n">
        <v>2794670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46234</v>
      </c>
      <c r="B58" s="9" t="n">
        <v>7244</v>
      </c>
      <c r="C58" s="9" t="inlineStr">
        <is>
          <t>В Модулекс модульна будівля Чернігів</t>
        </is>
      </c>
      <c r="D58" s="9" t="inlineStr">
        <is>
          <t>Заянчковський</t>
        </is>
      </c>
      <c r="E58" s="9" t="inlineStr">
        <is>
          <t>П'ятий платіж</t>
        </is>
      </c>
      <c r="F58" s="10" t="n">
        <v>132708.6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</row>
    <row r="59">
      <c r="A59" s="8" t="n">
        <v>46234</v>
      </c>
      <c r="B59" s="9" t="n">
        <v>7894</v>
      </c>
      <c r="C59" s="9" t="inlineStr">
        <is>
          <t>А Фора  SCP  32PS</t>
        </is>
      </c>
      <c r="D59" s="9" t="inlineStr">
        <is>
          <t>Донська</t>
        </is>
      </c>
      <c r="E59" s="9" t="inlineStr">
        <is>
          <t>Другий платіж</t>
        </is>
      </c>
      <c r="F59" s="10" t="n">
        <v>185968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</row>
    <row r="60">
      <c r="A60" s="8" t="n">
        <v>46245</v>
      </c>
      <c r="B60" s="9" t="n">
        <v>7894</v>
      </c>
      <c r="C60" s="9" t="inlineStr">
        <is>
          <t>А Фора  SCP  32PS</t>
        </is>
      </c>
      <c r="D60" s="9" t="inlineStr">
        <is>
          <t>Донська</t>
        </is>
      </c>
      <c r="E60" s="9" t="inlineStr">
        <is>
          <t>Третій платіж</t>
        </is>
      </c>
      <c r="F60" s="10" t="n">
        <v>185967.99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46249</v>
      </c>
      <c r="B61" s="9" t="n">
        <v>7002</v>
      </c>
      <c r="C61" s="9" t="inlineStr">
        <is>
          <t>А Фора  SCP W 24PS V1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573945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2026-08</t>
        </is>
      </c>
    </row>
    <row r="62">
      <c r="A62" s="8" t="n">
        <v>46260</v>
      </c>
      <c r="B62" s="9" t="n">
        <v>5910</v>
      </c>
      <c r="C62" s="9" t="inlineStr">
        <is>
          <t>А   AGM 2V</t>
        </is>
      </c>
      <c r="D62" s="9" t="inlineStr">
        <is>
          <t>Донська</t>
        </is>
      </c>
      <c r="E62" s="9" t="inlineStr">
        <is>
          <t>Третій платіж</t>
        </is>
      </c>
      <c r="F62" s="10" t="n">
        <v>2896238.8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</row>
    <row r="63">
      <c r="A63" s="8" t="n">
        <v>46260</v>
      </c>
      <c r="B63" s="9" t="n">
        <v>7002</v>
      </c>
      <c r="C63" s="9" t="inlineStr">
        <is>
          <t>А Фора  SCP W 24PS V1</t>
        </is>
      </c>
      <c r="D63" s="9" t="inlineStr">
        <is>
          <t>Донська</t>
        </is>
      </c>
      <c r="E63" s="9" t="inlineStr">
        <is>
          <t>П'ятий платіж</t>
        </is>
      </c>
      <c r="F63" s="10" t="n">
        <v>573945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</row>
    <row r="64">
      <c r="A64" s="8" t="n">
        <v>46282</v>
      </c>
      <c r="B64" s="9" t="n">
        <v>7894</v>
      </c>
      <c r="C64" s="9" t="inlineStr">
        <is>
          <t>А Фора  SCP  32PS</t>
        </is>
      </c>
      <c r="D64" s="9" t="inlineStr">
        <is>
          <t>Донська</t>
        </is>
      </c>
      <c r="E64" s="9" t="inlineStr">
        <is>
          <t>П'ятий платіж</t>
        </is>
      </c>
      <c r="F64" s="10" t="n">
        <v>737597.4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2026-09</t>
        </is>
      </c>
    </row>
    <row r="65">
      <c r="A65" s="8" t="n">
        <v>46287</v>
      </c>
      <c r="B65" s="9" t="n">
        <v>4766</v>
      </c>
      <c r="C65" s="9" t="inlineStr">
        <is>
          <t>ALTECO Carport Model Taurus 280кВт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4880000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2026-09</t>
        </is>
      </c>
    </row>
    <row r="66">
      <c r="E66" s="3" t="inlineStr">
        <is>
          <t>Разом</t>
        </is>
      </c>
      <c r="F66" s="12">
        <f>SUM(F2:F65)</f>
        <v/>
      </c>
      <c r="G66" s="12">
        <f>SUM(G2:G65)</f>
        <v/>
      </c>
      <c r="H66" s="12">
        <f>SUM(H2:H65)</f>
        <v/>
      </c>
    </row>
  </sheetData>
  <autoFilter ref="A1:I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46214</v>
      </c>
      <c r="B8" s="9" t="n">
        <v>7002</v>
      </c>
      <c r="C8" s="9" t="inlineStr">
        <is>
          <t>А Фора  SCP W 24PS V1</t>
        </is>
      </c>
      <c r="D8" s="9" t="inlineStr">
        <is>
          <t>Третій платіж</t>
        </is>
      </c>
      <c r="E8" s="11" t="n">
        <v>126896.64</v>
      </c>
      <c r="F8" s="11" t="n">
        <v>0</v>
      </c>
      <c r="G8" s="11">
        <f>E8-F8</f>
        <v/>
      </c>
    </row>
    <row r="9">
      <c r="A9" s="8" t="n">
        <v>46206</v>
      </c>
      <c r="B9" s="9" t="n">
        <v>4766</v>
      </c>
      <c r="C9" s="9" t="inlineStr">
        <is>
          <t>ALTECO Carport Model Taurus 280кВт</t>
        </is>
      </c>
      <c r="D9" s="9" t="inlineStr">
        <is>
          <t>Другий платіж</t>
        </is>
      </c>
      <c r="E9" s="11" t="n">
        <v>100000</v>
      </c>
      <c r="F9" s="11" t="n">
        <v>0</v>
      </c>
      <c r="G9" s="11">
        <f>E9-F9</f>
        <v/>
      </c>
    </row>
    <row r="10">
      <c r="A10" s="8" t="n">
        <v>46209</v>
      </c>
      <c r="B10" s="9" t="n">
        <v>8188</v>
      </c>
      <c r="C10" s="9" t="inlineStr">
        <is>
          <t>Фундамент Ужгород Стефанія</t>
        </is>
      </c>
      <c r="D10" s="9" t="inlineStr">
        <is>
          <t>Другий платіж</t>
        </is>
      </c>
      <c r="E10" s="11" t="n">
        <v>73926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Другий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A12" s="8" t="n">
        <v>46213</v>
      </c>
      <c r="B12" s="9" t="n">
        <v>8185</v>
      </c>
      <c r="C12" s="9" t="inlineStr">
        <is>
          <t>Фундамент Hytte House Development Славське</t>
        </is>
      </c>
      <c r="D12" s="9" t="inlineStr">
        <is>
          <t>Третій платіж</t>
        </is>
      </c>
      <c r="E12" s="11" t="n">
        <v>63313.4</v>
      </c>
      <c r="F12" s="11" t="n">
        <v>0</v>
      </c>
      <c r="G12" s="11">
        <f>E12-F12</f>
        <v/>
      </c>
    </row>
    <row r="13">
      <c r="D13" s="3" t="inlineStr">
        <is>
          <t>Разом</t>
        </is>
      </c>
      <c r="E13" s="12">
        <f>SUM(E2:E12)</f>
        <v/>
      </c>
      <c r="F13" s="12">
        <f>SUM(F2:F12)</f>
        <v/>
      </c>
      <c r="G13" s="12">
        <f>SUM(G2:G12)</f>
        <v/>
      </c>
    </row>
  </sheetData>
  <autoFilter ref="A1:G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2026-07-13T04:00:00Z</dcterms:created>
  <dcterms:modified xmlns:dcterms="http://purl.org/dc/terms/" xmlns:xsi="http://www.w3.org/2001/XMLSchema-instance" xsi:type="dcterms:W3CDTF">2026-07-13T04:00:00Z</dcterms:modified>
</cp:coreProperties>
</file>