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надходжень'!$A$1:$I$68</definedName>
    <definedName name="_xlnm._FilterDatabase" localSheetId="3" hidden="1">'Прострочені'!$A$1:$G$11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13.07.2026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Александров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/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Александров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46195</v>
      </c>
      <c r="B37" s="9" t="n">
        <v>8644</v>
      </c>
      <c r="C37" s="9" t="inlineStr">
        <is>
          <t>Solars ГШ 1,7+надставки 3,5</t>
        </is>
      </c>
      <c r="D37" s="9" t="inlineStr">
        <is>
          <t>Александров</t>
        </is>
      </c>
      <c r="E37" s="9" t="inlineStr">
        <is>
          <t>Авансовий платіж</t>
        </is>
      </c>
      <c r="F37" s="10" t="n">
        <v>415900</v>
      </c>
      <c r="G37" s="10" t="n">
        <v>415900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46196</v>
      </c>
      <c r="B38" s="9" t="n">
        <v>5682</v>
      </c>
      <c r="C38" s="9" t="inlineStr">
        <is>
          <t>А Сцена Корчин</t>
        </is>
      </c>
      <c r="D38" s="9" t="inlineStr">
        <is>
          <t>Іщук</t>
        </is>
      </c>
      <c r="E38" s="9" t="inlineStr">
        <is>
          <t>Другий платіж</t>
        </is>
      </c>
      <c r="F38" s="10" t="n">
        <v>369984.96</v>
      </c>
      <c r="G38" s="10" t="n">
        <v>369984.96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46197</v>
      </c>
      <c r="B39" s="9" t="n">
        <v>7068</v>
      </c>
      <c r="C39" s="9" t="inlineStr">
        <is>
          <t>А Remtec energy  AGM  160 TP</t>
        </is>
      </c>
      <c r="D39" s="9" t="inlineStr">
        <is>
          <t>Александров</t>
        </is>
      </c>
      <c r="E39" s="9" t="inlineStr">
        <is>
          <t>Другий платіж</t>
        </is>
      </c>
      <c r="F39" s="10" t="n">
        <v>0</v>
      </c>
      <c r="G39" s="10" t="n">
        <v>1153420</v>
      </c>
      <c r="H39" s="11">
        <f>F39-G39</f>
        <v/>
      </c>
      <c r="I39" s="9" t="inlineStr">
        <is>
          <t>очікується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8360</v>
      </c>
      <c r="C40" s="9" t="inlineStr">
        <is>
          <t>Хаджет Лебедівка</t>
        </is>
      </c>
      <c r="D40" s="9" t="inlineStr">
        <is>
          <t>Донська</t>
        </is>
      </c>
      <c r="E40" s="9" t="inlineStr">
        <is>
          <t>Третій платіж</t>
        </is>
      </c>
      <c r="F40" s="10" t="n">
        <v>95968.3</v>
      </c>
      <c r="G40" s="10" t="n">
        <v>95968.3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  <c r="K40" s="12" t="inlineStr"/>
    </row>
    <row r="41">
      <c r="A41" s="8" t="n">
        <v>46202</v>
      </c>
      <c r="B41" s="9" t="n">
        <v>6704</v>
      </c>
      <c r="C41" s="9" t="inlineStr">
        <is>
          <t>SCP Taurus 236PS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1872000</v>
      </c>
      <c r="G41" s="10" t="n">
        <v>1872000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46203</v>
      </c>
      <c r="B42" s="9" t="n">
        <v>5870</v>
      </c>
      <c r="C42" s="9" t="inlineStr">
        <is>
          <t>Carport Airport Munich</t>
        </is>
      </c>
      <c r="D42" s="9" t="inlineStr">
        <is>
          <t>Александров</t>
        </is>
      </c>
      <c r="E42" s="9" t="inlineStr">
        <is>
          <t>Другий платіж</t>
        </is>
      </c>
      <c r="F42" s="10" t="n">
        <v>7800000</v>
      </c>
      <c r="G42" s="10" t="n">
        <v>0</v>
      </c>
      <c r="H42" s="11">
        <f>F42-G42</f>
        <v/>
      </c>
      <c r="I42" s="9" t="inlineStr">
        <is>
          <t>прострочено</t>
        </is>
      </c>
      <c r="J42" t="inlineStr">
        <is>
          <t>2026-06</t>
        </is>
      </c>
      <c r="K42" s="12" t="inlineStr"/>
    </row>
    <row r="43">
      <c r="A43" s="8" t="n">
        <v>46204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Авансовий платіж</t>
        </is>
      </c>
      <c r="F43" s="10" t="n">
        <v>20000</v>
      </c>
      <c r="G43" s="10" t="n">
        <v>20000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46209</v>
      </c>
      <c r="B44" s="9" t="n">
        <v>8188</v>
      </c>
      <c r="C44" s="9" t="inlineStr">
        <is>
          <t>Фундамент Ужгород Стефанія</t>
        </is>
      </c>
      <c r="D44" s="9" t="inlineStr">
        <is>
          <t>Александров</t>
        </is>
      </c>
      <c r="E44" s="9" t="inlineStr">
        <is>
          <t>Другий платіж</t>
        </is>
      </c>
      <c r="F44" s="10" t="n">
        <v>73926</v>
      </c>
      <c r="G44" s="10" t="n">
        <v>0</v>
      </c>
      <c r="H44" s="11">
        <f>F44-G44</f>
        <v/>
      </c>
      <c r="I44" s="9" t="inlineStr">
        <is>
          <t>прострочено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46212</v>
      </c>
      <c r="B46" s="9" t="n">
        <v>6406</v>
      </c>
      <c r="C46" s="9" t="inlineStr">
        <is>
          <t>Максим Яловий Чинадієво</t>
        </is>
      </c>
      <c r="D46" s="9" t="inlineStr">
        <is>
          <t>Александров</t>
        </is>
      </c>
      <c r="E46" s="9" t="inlineStr">
        <is>
          <t>Другий платіж</t>
        </is>
      </c>
      <c r="F46" s="10" t="n">
        <v>218602</v>
      </c>
      <c r="G46" s="10" t="n">
        <v>0</v>
      </c>
      <c r="H46" s="11">
        <f>F46-G46</f>
        <v/>
      </c>
      <c r="I46" s="9" t="inlineStr">
        <is>
          <t>прострочено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5910</v>
      </c>
      <c r="C47" s="9" t="inlineStr">
        <is>
          <t>А   AGM 2V</t>
        </is>
      </c>
      <c r="D47" s="9" t="inlineStr">
        <is>
          <t>Донська</t>
        </is>
      </c>
      <c r="E47" s="9" t="inlineStr">
        <is>
          <t>Авансовий платіж</t>
        </is>
      </c>
      <c r="F47" s="10" t="n">
        <v>8517966.4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7002</v>
      </c>
      <c r="C48" s="9" t="inlineStr">
        <is>
          <t>А Фора  SCP W 24PS V1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126896.64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46213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Другий платіж</t>
        </is>
      </c>
      <c r="F49" s="10" t="n">
        <v>63313.4</v>
      </c>
      <c r="G49" s="10" t="n">
        <v>0</v>
      </c>
      <c r="H49" s="11">
        <f>F49-G49</f>
        <v/>
      </c>
      <c r="I49" s="9" t="inlineStr">
        <is>
          <t>прострочено</t>
        </is>
      </c>
      <c r="J49" t="inlineStr">
        <is>
          <t>2026-07</t>
        </is>
      </c>
      <c r="K49" s="12" t="inlineStr"/>
    </row>
    <row r="50">
      <c r="A50" s="8" t="n">
        <v>46213</v>
      </c>
      <c r="B50" s="9" t="n">
        <v>8185</v>
      </c>
      <c r="C50" s="9" t="inlineStr">
        <is>
          <t>Фундамент Hytte House Development Славське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63313.4</v>
      </c>
      <c r="G50" s="10" t="n">
        <v>0</v>
      </c>
      <c r="H50" s="11">
        <f>F50-G50</f>
        <v/>
      </c>
      <c r="I50" s="9" t="inlineStr">
        <is>
          <t>прострочено</t>
        </is>
      </c>
      <c r="J50" t="inlineStr">
        <is>
          <t>2026-07</t>
        </is>
      </c>
      <c r="K50" s="12" t="inlineStr"/>
    </row>
    <row r="51">
      <c r="A51" s="8" t="n">
        <v>46214</v>
      </c>
      <c r="B51" s="9" t="n">
        <v>7002</v>
      </c>
      <c r="C51" s="9" t="inlineStr">
        <is>
          <t>А Фора  SCP W 24PS V1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0</v>
      </c>
      <c r="H51" s="11">
        <f>F51-G51</f>
        <v/>
      </c>
      <c r="I51" s="9" t="inlineStr">
        <is>
          <t>прострочено</t>
        </is>
      </c>
      <c r="J51" t="inlineStr">
        <is>
          <t>2026-07</t>
        </is>
      </c>
      <c r="K51" s="12" t="inlineStr"/>
    </row>
    <row r="52">
      <c r="A52" s="8" t="n">
        <v>46216</v>
      </c>
      <c r="B52" s="9" t="n">
        <v>8496</v>
      </c>
      <c r="C52" s="9" t="inlineStr">
        <is>
          <t>А Greensource  SGM  110MWp</t>
        </is>
      </c>
      <c r="D52" s="9" t="inlineStr">
        <is>
          <t>Іщук</t>
        </is>
      </c>
      <c r="E52" s="9" t="inlineStr">
        <is>
          <t>Авансовий платіж</t>
        </is>
      </c>
      <c r="F52" s="10" t="n">
        <v>447568</v>
      </c>
      <c r="G52" s="10" t="n">
        <v>447568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>
        <is>
          <t>€8 800</t>
        </is>
      </c>
    </row>
    <row r="53">
      <c r="A53" s="8" t="n">
        <v>46217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Другий платіж</t>
        </is>
      </c>
      <c r="F53" s="10" t="n">
        <v>100000</v>
      </c>
      <c r="G53" s="10" t="n">
        <v>0</v>
      </c>
      <c r="H53" s="11">
        <f>F53-G53</f>
        <v/>
      </c>
      <c r="I53" s="9" t="inlineStr">
        <is>
          <t>очікується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3456</v>
      </c>
      <c r="C54" s="9" t="inlineStr">
        <is>
          <t>А Підселання фундаменту</t>
        </is>
      </c>
      <c r="D54" s="9" t="inlineStr">
        <is>
          <t>Донська</t>
        </is>
      </c>
      <c r="E54" s="9" t="inlineStr">
        <is>
          <t>Третій платіж</t>
        </is>
      </c>
      <c r="F54" s="10" t="n">
        <v>335974.68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  <c r="K54" s="12" t="inlineStr"/>
    </row>
    <row r="55">
      <c r="A55" s="8" t="n">
        <v>46225</v>
      </c>
      <c r="B55" s="9" t="n">
        <v>8008</v>
      </c>
      <c r="C55" s="9" t="inlineStr">
        <is>
          <t>Модулі Григорівка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178088.4</v>
      </c>
      <c r="G55" s="10" t="n">
        <v>178088.4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46228</v>
      </c>
      <c r="B56" s="9" t="n">
        <v>5910</v>
      </c>
      <c r="C56" s="9" t="inlineStr">
        <is>
          <t>А   AGM 2V</t>
        </is>
      </c>
      <c r="D56" s="9" t="inlineStr">
        <is>
          <t>Донська</t>
        </is>
      </c>
      <c r="E56" s="9" t="inlineStr">
        <is>
          <t>Другий платіж</t>
        </is>
      </c>
      <c r="F56" s="10" t="n">
        <v>17035932.8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7894</v>
      </c>
      <c r="C57" s="9" t="inlineStr">
        <is>
          <t>А Фора  SCP  32PS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737597.4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  <c r="K57" s="12" t="inlineStr"/>
    </row>
    <row r="58">
      <c r="A58" s="8" t="n">
        <v>46233</v>
      </c>
      <c r="B58" s="9" t="n">
        <v>8008</v>
      </c>
      <c r="C58" s="9" t="inlineStr">
        <is>
          <t>Модулі Григорівка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178088.4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7068</v>
      </c>
      <c r="C59" s="9" t="inlineStr">
        <is>
          <t>А Remtec energy  AGM  160 TP</t>
        </is>
      </c>
      <c r="D59" s="9" t="inlineStr">
        <is>
          <t>Александров</t>
        </is>
      </c>
      <c r="E59" s="9" t="inlineStr">
        <is>
          <t>Третій платіж</t>
        </is>
      </c>
      <c r="F59" s="10" t="n">
        <v>0</v>
      </c>
      <c r="G59" s="10" t="n">
        <v>2794670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  <c r="K59" s="12" t="inlineStr"/>
    </row>
    <row r="60">
      <c r="A60" s="8" t="n">
        <v>46234</v>
      </c>
      <c r="B60" s="9" t="n">
        <v>7244</v>
      </c>
      <c r="C60" s="9" t="inlineStr">
        <is>
          <t>В Модулекс модульна будівля Чернігів</t>
        </is>
      </c>
      <c r="D60" s="9" t="inlineStr">
        <is>
          <t>Заянчковський</t>
        </is>
      </c>
      <c r="E60" s="9" t="inlineStr">
        <is>
          <t>П'ятий платіж</t>
        </is>
      </c>
      <c r="F60" s="10" t="n">
        <v>132708.6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185968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46237</v>
      </c>
      <c r="B62" s="9" t="n">
        <v>8878</v>
      </c>
      <c r="C62" s="9" t="inlineStr">
        <is>
          <t>А ТОВ КОМПАНІЯ ВОЛЬТ СЕРВІС ГРУП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12823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  <c r="K62" s="12" t="inlineStr"/>
    </row>
    <row r="63">
      <c r="A63" s="8" t="n">
        <v>46245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Третій платіж</t>
        </is>
      </c>
      <c r="F63" s="10" t="n">
        <v>185967.99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46249</v>
      </c>
      <c r="B64" s="9" t="n">
        <v>7002</v>
      </c>
      <c r="C64" s="9" t="inlineStr">
        <is>
          <t>А Фора  SCP W 24PS V1</t>
        </is>
      </c>
      <c r="D64" s="9" t="inlineStr">
        <is>
          <t>Донська</t>
        </is>
      </c>
      <c r="E64" s="9" t="inlineStr">
        <is>
          <t>Четвертий платіж</t>
        </is>
      </c>
      <c r="F64" s="10" t="n">
        <v>573945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46260</v>
      </c>
      <c r="B65" s="9" t="n">
        <v>5910</v>
      </c>
      <c r="C65" s="9" t="inlineStr">
        <is>
          <t>А   AGM 2V</t>
        </is>
      </c>
      <c r="D65" s="9" t="inlineStr">
        <is>
          <t>Донська</t>
        </is>
      </c>
      <c r="E65" s="9" t="inlineStr">
        <is>
          <t>Третій платіж</t>
        </is>
      </c>
      <c r="F65" s="10" t="n">
        <v>2896238.8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46260</v>
      </c>
      <c r="B66" s="9" t="n">
        <v>7002</v>
      </c>
      <c r="C66" s="9" t="inlineStr">
        <is>
          <t>А Фора  SCP W 24PS V1</t>
        </is>
      </c>
      <c r="D66" s="9" t="inlineStr">
        <is>
          <t>Донська</t>
        </is>
      </c>
      <c r="E66" s="9" t="inlineStr">
        <is>
          <t>П'ятий платіж</t>
        </is>
      </c>
      <c r="F66" s="10" t="n">
        <v>573945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46282</v>
      </c>
      <c r="B67" s="9" t="n">
        <v>7894</v>
      </c>
      <c r="C67" s="9" t="inlineStr">
        <is>
          <t>А Фора  SCP  32PS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737597.4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2026-09</t>
        </is>
      </c>
      <c r="K67" s="12" t="inlineStr"/>
    </row>
    <row r="68">
      <c r="A68" s="8" t="n">
        <v>46287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П'ятий платіж</t>
        </is>
      </c>
      <c r="F68" s="10" t="n">
        <v>4880000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E69" s="3" t="inlineStr">
        <is>
          <t>Разом</t>
        </is>
      </c>
      <c r="F69" s="13">
        <f>SUM(F2:F68)</f>
        <v/>
      </c>
      <c r="G69" s="13">
        <f>SUM(G2:G68)</f>
        <v/>
      </c>
      <c r="H69" s="13">
        <f>SUM(H2:H68)</f>
        <v/>
      </c>
    </row>
  </sheetData>
  <autoFilter ref="A1:I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46213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8517966.4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7002</v>
      </c>
      <c r="C7" s="9" t="inlineStr">
        <is>
          <t>А Фора  SCP W 24PS V1</t>
        </is>
      </c>
      <c r="D7" s="9" t="inlineStr">
        <is>
          <t>Другий платіж</t>
        </is>
      </c>
      <c r="E7" s="11" t="n">
        <v>126896.64</v>
      </c>
      <c r="F7" s="11" t="n">
        <v>0</v>
      </c>
      <c r="G7" s="11">
        <f>E7-F7</f>
        <v/>
      </c>
    </row>
    <row r="8">
      <c r="A8" s="8" t="n">
        <v>46214</v>
      </c>
      <c r="B8" s="9" t="n">
        <v>7002</v>
      </c>
      <c r="C8" s="9" t="inlineStr">
        <is>
          <t>А Фора  SCP W 24PS V1</t>
        </is>
      </c>
      <c r="D8" s="9" t="inlineStr">
        <is>
          <t>Третій платіж</t>
        </is>
      </c>
      <c r="E8" s="11" t="n">
        <v>126896.64</v>
      </c>
      <c r="F8" s="11" t="n">
        <v>0</v>
      </c>
      <c r="G8" s="11">
        <f>E8-F8</f>
        <v/>
      </c>
    </row>
    <row r="9">
      <c r="A9" s="8" t="n">
        <v>46209</v>
      </c>
      <c r="B9" s="9" t="n">
        <v>8188</v>
      </c>
      <c r="C9" s="9" t="inlineStr">
        <is>
          <t>Фундамент Ужгород Стефанія</t>
        </is>
      </c>
      <c r="D9" s="9" t="inlineStr">
        <is>
          <t>Другий платіж</t>
        </is>
      </c>
      <c r="E9" s="11" t="n">
        <v>73926</v>
      </c>
      <c r="F9" s="11" t="n">
        <v>0</v>
      </c>
      <c r="G9" s="11">
        <f>E9-F9</f>
        <v/>
      </c>
    </row>
    <row r="10">
      <c r="A10" s="8" t="n">
        <v>46213</v>
      </c>
      <c r="B10" s="9" t="n">
        <v>8185</v>
      </c>
      <c r="C10" s="9" t="inlineStr">
        <is>
          <t>Фундамент Hytte House Development Славське</t>
        </is>
      </c>
      <c r="D10" s="9" t="inlineStr">
        <is>
          <t>Другий платіж</t>
        </is>
      </c>
      <c r="E10" s="11" t="n">
        <v>63313.4</v>
      </c>
      <c r="F10" s="11" t="n">
        <v>0</v>
      </c>
      <c r="G10" s="11">
        <f>E10-F10</f>
        <v/>
      </c>
    </row>
    <row r="11">
      <c r="A11" s="8" t="n">
        <v>46213</v>
      </c>
      <c r="B11" s="9" t="n">
        <v>8185</v>
      </c>
      <c r="C11" s="9" t="inlineStr">
        <is>
          <t>Фундамент Hytte House Development Славське</t>
        </is>
      </c>
      <c r="D11" s="9" t="inlineStr">
        <is>
          <t>Третій платіж</t>
        </is>
      </c>
      <c r="E11" s="11" t="n">
        <v>63313.4</v>
      </c>
      <c r="F11" s="11" t="n">
        <v>0</v>
      </c>
      <c r="G11" s="11">
        <f>E11-F11</f>
        <v/>
      </c>
    </row>
    <row r="12">
      <c r="D12" s="3" t="inlineStr">
        <is>
          <t>Разом</t>
        </is>
      </c>
      <c r="E12" s="13">
        <f>SUM(E2:E11)</f>
        <v/>
      </c>
      <c r="F12" s="13">
        <f>SUM(F2:F11)</f>
        <v/>
      </c>
      <c r="G12" s="13">
        <f>SUM(G2:G11)</f>
        <v/>
      </c>
    </row>
  </sheetData>
  <autoFilter ref="A1:G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2026-07-13T11:11:25Z</dcterms:created>
  <dcterms:modified xmlns:dcterms="http://purl.org/dc/terms/" xmlns:xsi="http://www.w3.org/2001/XMLSchema-instance" xsi:type="dcterms:W3CDTF">2026-07-13T11:11:25Z</dcterms:modified>
</cp:coreProperties>
</file>