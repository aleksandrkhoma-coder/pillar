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ведення" sheetId="1" state="visible" r:id="rId1"/>
    <sheet xmlns:r="http://schemas.openxmlformats.org/officeDocument/2006/relationships" name="Графік надходжень" sheetId="2" state="visible" r:id="rId2"/>
    <sheet xmlns:r="http://schemas.openxmlformats.org/officeDocument/2006/relationships" name="По місяцях" sheetId="3" state="visible" r:id="rId3"/>
    <sheet xmlns:r="http://schemas.openxmlformats.org/officeDocument/2006/relationships" name="Прострочені" sheetId="4" state="visible" r:id="rId4"/>
  </sheets>
  <definedNames>
    <definedName name="_xlnm._FilterDatabase" localSheetId="1" hidden="1">'Графік надходжень'!$A$1:$I$107</definedName>
    <definedName name="_xlnm._FilterDatabase" localSheetId="3" hidden="1">'Прострочені'!$A$1:$G$6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&quot; ₴&quot;;(#,##0)&quot; ₴&quot;;&quot;-&quot;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E85D1A"/>
      <sz val="14"/>
    </font>
    <font>
      <name val="Arial"/>
      <i val="1"/>
      <color rgb="00666666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8ED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pivotButton="0" quotePrefix="0" xfId="0"/>
    <xf numFmtId="0" fontId="2" fillId="0" borderId="1" pivotButton="0" quotePrefix="0" xfId="0"/>
    <xf numFmtId="166" fontId="3" fillId="0" borderId="1" pivotButton="0" quotePrefix="0" xfId="0"/>
    <xf numFmtId="166" fontId="2" fillId="0" borderId="1" pivotButton="0" quotePrefix="0" xfId="0"/>
    <xf numFmtId="0" fontId="2" fillId="0" borderId="0" pivotButton="0" quotePrefix="0" xfId="0"/>
    <xf numFmtId="166" fontId="4" fillId="3" borderId="0" pivotButton="0" quotePrefix="0" xfId="0"/>
    <xf numFmtId="167" fontId="2" fillId="0" borderId="1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Грошовий потік — звіт Pillar</t>
        </is>
      </c>
    </row>
    <row r="2">
      <c r="A2" s="2" t="inlineStr">
        <is>
          <t>Дані: 30.10.2026 · без проєктів на паузі/втрачених</t>
        </is>
      </c>
    </row>
    <row r="4">
      <c r="A4" s="3" t="inlineStr">
        <is>
          <t>План усього, ₴</t>
        </is>
      </c>
      <c r="B4" s="4">
        <f>SUMIF('Графік надходжень'!J:J,"&lt;&gt;",'Графік надходжень'!F:F)</f>
        <v/>
      </c>
    </row>
    <row r="5">
      <c r="A5" s="3" t="inlineStr">
        <is>
          <t>Отримано (факт), ₴</t>
        </is>
      </c>
      <c r="B5" s="4">
        <f>SUMIF('Графік надходжень'!J:J,"&lt;&gt;",'Графік надходжень'!G:G)</f>
        <v/>
      </c>
    </row>
    <row r="6">
      <c r="A6" s="3" t="inlineStr">
        <is>
          <t>Очікується, ₴</t>
        </is>
      </c>
      <c r="B6" s="4">
        <f>B4-B5</f>
        <v/>
      </c>
    </row>
    <row r="7">
      <c r="A7" s="3" t="inlineStr">
        <is>
          <t>Отримано, %</t>
        </is>
      </c>
      <c r="B7" s="5">
        <f>IF(B4=0,0,B5/B4)</f>
        <v/>
      </c>
    </row>
    <row r="8">
      <c r="A8" s="3" t="inlineStr">
        <is>
          <t>Прострочені надходження, ₴</t>
        </is>
      </c>
      <c r="B8" s="4">
        <f>SUMIF('Прострочені'!A:A,"&lt;&gt;",'Прострочені'!G:G)</f>
        <v/>
      </c>
    </row>
    <row r="9">
      <c r="A9" s="3" t="inlineStr">
        <is>
          <t>К-сть платежів</t>
        </is>
      </c>
      <c r="B9" s="6">
        <f>COUNTIF('Графік надходжень'!J2:J100000,"&lt;&gt;")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  <col width="13" customWidth="1" min="9" max="9"/>
    <col hidden="1" width="9" customWidth="1" min="10" max="10"/>
    <col width="12" customWidth="1" min="11" max="11"/>
  </cols>
  <sheetData>
    <row r="1">
      <c r="A1" s="7" t="inlineStr">
        <is>
          <t>Планова дата</t>
        </is>
      </c>
      <c r="B1" s="7" t="inlineStr">
        <is>
          <t>№ проєкту</t>
        </is>
      </c>
      <c r="C1" s="7" t="inlineStr">
        <is>
          <t>Проєкт</t>
        </is>
      </c>
      <c r="D1" s="7" t="inlineStr">
        <is>
          <t>ПМ</t>
        </is>
      </c>
      <c r="E1" s="7" t="inlineStr">
        <is>
          <t>Платіж</t>
        </is>
      </c>
      <c r="F1" s="7" t="inlineStr">
        <is>
          <t>План, ₴</t>
        </is>
      </c>
      <c r="G1" s="7" t="inlineStr">
        <is>
          <t>Факт, ₴</t>
        </is>
      </c>
      <c r="H1" s="7" t="inlineStr">
        <is>
          <t>Різниця, ₴</t>
        </is>
      </c>
      <c r="I1" s="7" t="inlineStr">
        <is>
          <t>Статус</t>
        </is>
      </c>
      <c r="J1" s="7" t="inlineStr">
        <is>
          <t>YM</t>
        </is>
      </c>
      <c r="K1" s="7" t="inlineStr">
        <is>
          <t>У валюті</t>
        </is>
      </c>
    </row>
    <row r="2">
      <c r="A2" s="8" t="n">
        <v>46128</v>
      </c>
      <c r="B2" s="9" t="n">
        <v>8070</v>
      </c>
      <c r="C2" s="9" t="inlineStr">
        <is>
          <t>А Карпорты B2C  SCP</t>
        </is>
      </c>
      <c r="D2" s="9" t="inlineStr">
        <is>
          <t>Іщук</t>
        </is>
      </c>
      <c r="E2" s="9" t="inlineStr">
        <is>
          <t>Авансовий платіж</t>
        </is>
      </c>
      <c r="F2" s="10" t="n">
        <v>126641</v>
      </c>
      <c r="G2" s="10" t="n">
        <v>126641</v>
      </c>
      <c r="H2" s="11">
        <f>F2-G2</f>
        <v/>
      </c>
      <c r="I2" s="9" t="inlineStr">
        <is>
          <t>отримано</t>
        </is>
      </c>
      <c r="J2" t="inlineStr">
        <is>
          <t>2026-04</t>
        </is>
      </c>
      <c r="K2" s="12" t="inlineStr"/>
    </row>
    <row r="3">
      <c r="A3" s="8" t="n">
        <v>46133</v>
      </c>
      <c r="B3" s="9" t="n">
        <v>7244</v>
      </c>
      <c r="C3" s="9" t="inlineStr">
        <is>
          <t>В Модулекс модульна будівля Чернігів</t>
        </is>
      </c>
      <c r="D3" s="9" t="inlineStr">
        <is>
          <t>Заянчковський</t>
        </is>
      </c>
      <c r="E3" s="9" t="inlineStr">
        <is>
          <t>Авансовий платіж</t>
        </is>
      </c>
      <c r="F3" s="10" t="n">
        <v>77600</v>
      </c>
      <c r="G3" s="10" t="n">
        <v>77600</v>
      </c>
      <c r="H3" s="11">
        <f>F3-G3</f>
        <v/>
      </c>
      <c r="I3" s="9" t="inlineStr">
        <is>
          <t>отримано</t>
        </is>
      </c>
      <c r="J3" t="inlineStr">
        <is>
          <t>2026-04</t>
        </is>
      </c>
      <c r="K3" s="12" t="inlineStr"/>
    </row>
    <row r="4">
      <c r="A4" s="8" t="n">
        <v>46139</v>
      </c>
      <c r="B4" s="9" t="n">
        <v>7536</v>
      </c>
      <c r="C4" s="9" t="inlineStr">
        <is>
          <t>А Ранчо “Едельвейс”  AGM  171PV</t>
        </is>
      </c>
      <c r="D4" s="9" t="inlineStr">
        <is>
          <t>Іщук</t>
        </is>
      </c>
      <c r="E4" s="9" t="inlineStr">
        <is>
          <t>Авансовий платіж</t>
        </is>
      </c>
      <c r="F4" s="10" t="n">
        <v>244374</v>
      </c>
      <c r="G4" s="10" t="n">
        <v>244374</v>
      </c>
      <c r="H4" s="11">
        <f>F4-G4</f>
        <v/>
      </c>
      <c r="I4" s="9" t="inlineStr">
        <is>
          <t>отримано</t>
        </is>
      </c>
      <c r="J4" t="inlineStr">
        <is>
          <t>2026-04</t>
        </is>
      </c>
      <c r="K4" s="12" t="inlineStr"/>
    </row>
    <row r="5">
      <c r="A5" s="8" t="n">
        <v>46147</v>
      </c>
      <c r="B5" s="9" t="n">
        <v>3456</v>
      </c>
      <c r="C5" s="9" t="inlineStr">
        <is>
          <t>А Підселання фундаменту</t>
        </is>
      </c>
      <c r="D5" s="9" t="inlineStr">
        <is>
          <t>Донська</t>
        </is>
      </c>
      <c r="E5" s="9" t="inlineStr">
        <is>
          <t>Авансовий платіж</t>
        </is>
      </c>
      <c r="F5" s="10" t="n">
        <v>421968</v>
      </c>
      <c r="G5" s="10" t="n">
        <v>421968</v>
      </c>
      <c r="H5" s="11">
        <f>F5-G5</f>
        <v/>
      </c>
      <c r="I5" s="9" t="inlineStr">
        <is>
          <t>отримано</t>
        </is>
      </c>
      <c r="J5" t="inlineStr">
        <is>
          <t>2026-05</t>
        </is>
      </c>
      <c r="K5" s="12" t="inlineStr"/>
    </row>
    <row r="6">
      <c r="A6" s="8" t="n">
        <v>46149</v>
      </c>
      <c r="B6" s="9" t="n">
        <v>7536</v>
      </c>
      <c r="C6" s="9" t="inlineStr">
        <is>
          <t>А Ранчо “Едельвейс”  AGM  171PV</t>
        </is>
      </c>
      <c r="D6" s="9" t="inlineStr">
        <is>
          <t>Іщук</t>
        </is>
      </c>
      <c r="E6" s="9" t="inlineStr">
        <is>
          <t>Другий платіж</t>
        </is>
      </c>
      <c r="F6" s="10" t="n">
        <v>200000</v>
      </c>
      <c r="G6" s="10" t="n">
        <v>200000</v>
      </c>
      <c r="H6" s="11">
        <f>F6-G6</f>
        <v/>
      </c>
      <c r="I6" s="9" t="inlineStr">
        <is>
          <t>отримано</t>
        </is>
      </c>
      <c r="J6" t="inlineStr">
        <is>
          <t>2026-05</t>
        </is>
      </c>
      <c r="K6" s="12" t="inlineStr"/>
    </row>
    <row r="7">
      <c r="A7" s="8" t="n">
        <v>46154</v>
      </c>
      <c r="B7" s="9" t="n">
        <v>8360</v>
      </c>
      <c r="C7" s="9" t="inlineStr">
        <is>
          <t>Хаджет Лебедівка</t>
        </is>
      </c>
      <c r="D7" s="9" t="inlineStr">
        <is>
          <t>Донська</t>
        </is>
      </c>
      <c r="E7" s="9" t="inlineStr">
        <is>
          <t>Авансовий платіж</t>
        </is>
      </c>
      <c r="F7" s="10" t="n">
        <v>231000</v>
      </c>
      <c r="G7" s="10" t="n">
        <v>231000</v>
      </c>
      <c r="H7" s="11">
        <f>F7-G7</f>
        <v/>
      </c>
      <c r="I7" s="9" t="inlineStr">
        <is>
          <t>отримано</t>
        </is>
      </c>
      <c r="J7" t="inlineStr">
        <is>
          <t>2026-05</t>
        </is>
      </c>
      <c r="K7" s="12" t="inlineStr"/>
    </row>
    <row r="8">
      <c r="A8" s="8" t="n">
        <v>46157</v>
      </c>
      <c r="B8" s="9" t="n">
        <v>7536</v>
      </c>
      <c r="C8" s="9" t="inlineStr">
        <is>
          <t>А Ранчо “Едельвейс”  AGM  171PV</t>
        </is>
      </c>
      <c r="D8" s="9" t="inlineStr">
        <is>
          <t>Іщук</t>
        </is>
      </c>
      <c r="E8" s="9" t="inlineStr">
        <is>
          <t>Третій платіж</t>
        </is>
      </c>
      <c r="F8" s="10" t="n">
        <v>200000</v>
      </c>
      <c r="G8" s="10" t="n">
        <v>200000</v>
      </c>
      <c r="H8" s="11">
        <f>F8-G8</f>
        <v/>
      </c>
      <c r="I8" s="9" t="inlineStr">
        <is>
          <t>отримано</t>
        </is>
      </c>
      <c r="J8" t="inlineStr">
        <is>
          <t>2026-05</t>
        </is>
      </c>
      <c r="K8" s="12" t="inlineStr"/>
    </row>
    <row r="9">
      <c r="A9" s="8" t="n">
        <v>46160</v>
      </c>
      <c r="B9" s="9" t="n">
        <v>8008</v>
      </c>
      <c r="C9" s="9" t="inlineStr">
        <is>
          <t>Модулі Григорівка</t>
        </is>
      </c>
      <c r="D9" s="9" t="inlineStr">
        <is>
          <t>Донська</t>
        </is>
      </c>
      <c r="E9" s="9" t="inlineStr">
        <is>
          <t>Авансовий платіж</t>
        </is>
      </c>
      <c r="F9" s="10" t="n">
        <v>430850.64</v>
      </c>
      <c r="G9" s="10" t="n">
        <v>430850.64</v>
      </c>
      <c r="H9" s="11">
        <f>F9-G9</f>
        <v/>
      </c>
      <c r="I9" s="9" t="inlineStr">
        <is>
          <t>отримано</t>
        </is>
      </c>
      <c r="J9" t="inlineStr">
        <is>
          <t>2026-05</t>
        </is>
      </c>
      <c r="K9" s="12" t="inlineStr"/>
    </row>
    <row r="10">
      <c r="A10" s="8" t="n">
        <v>46161</v>
      </c>
      <c r="B10" s="9" t="n">
        <v>5870</v>
      </c>
      <c r="C10" s="9" t="inlineStr">
        <is>
          <t>Carport Airport Munich</t>
        </is>
      </c>
      <c r="D10" s="9" t="inlineStr">
        <is>
          <t>Хома</t>
        </is>
      </c>
      <c r="E10" s="9" t="inlineStr">
        <is>
          <t>Авансовий платіж</t>
        </is>
      </c>
      <c r="F10" s="10" t="n">
        <v>2525000</v>
      </c>
      <c r="G10" s="10" t="n">
        <v>2525000</v>
      </c>
      <c r="H10" s="11">
        <f>F10-G10</f>
        <v/>
      </c>
      <c r="I10" s="9" t="inlineStr">
        <is>
          <t>отримано</t>
        </is>
      </c>
      <c r="J10" t="inlineStr">
        <is>
          <t>2026-05</t>
        </is>
      </c>
      <c r="K10" s="12" t="inlineStr">
        <is>
          <t>€50 000</t>
        </is>
      </c>
    </row>
    <row r="11">
      <c r="A11" s="8" t="n">
        <v>46161</v>
      </c>
      <c r="B11" s="9" t="n">
        <v>6704</v>
      </c>
      <c r="C11" s="9" t="inlineStr">
        <is>
          <t>SCP Taurus 236PS</t>
        </is>
      </c>
      <c r="D11" s="9" t="inlineStr">
        <is>
          <t>Хома</t>
        </is>
      </c>
      <c r="E11" s="9" t="inlineStr">
        <is>
          <t>Авансовий платіж</t>
        </is>
      </c>
      <c r="F11" s="10" t="n">
        <v>5050000</v>
      </c>
      <c r="G11" s="10" t="n">
        <v>5050000</v>
      </c>
      <c r="H11" s="11">
        <f>F11-G11</f>
        <v/>
      </c>
      <c r="I11" s="9" t="inlineStr">
        <is>
          <t>отримано</t>
        </is>
      </c>
      <c r="J11" t="inlineStr">
        <is>
          <t>2026-05</t>
        </is>
      </c>
      <c r="K11" s="12" t="inlineStr">
        <is>
          <t>€100 000</t>
        </is>
      </c>
    </row>
    <row r="12">
      <c r="A12" s="8" t="n">
        <v>46161</v>
      </c>
      <c r="B12" s="9" t="n">
        <v>7068</v>
      </c>
      <c r="C12" s="9" t="inlineStr">
        <is>
          <t>А Remtec energy  AGM  160 TP</t>
        </is>
      </c>
      <c r="D12" s="9" t="inlineStr">
        <is>
          <t>Александров</t>
        </is>
      </c>
      <c r="E12" s="9" t="inlineStr">
        <is>
          <t>Авансовий платіж</t>
        </is>
      </c>
      <c r="F12" s="10" t="n">
        <v>2416856</v>
      </c>
      <c r="G12" s="10" t="n">
        <v>2416856</v>
      </c>
      <c r="H12" s="11">
        <f>F12-G12</f>
        <v/>
      </c>
      <c r="I12" s="9" t="inlineStr">
        <is>
          <t>отримано</t>
        </is>
      </c>
      <c r="J12" t="inlineStr">
        <is>
          <t>2026-05</t>
        </is>
      </c>
      <c r="K12" s="12" t="inlineStr"/>
    </row>
    <row r="13">
      <c r="A13" s="8" t="n">
        <v>46161</v>
      </c>
      <c r="B13" s="9" t="n">
        <v>8438</v>
      </c>
      <c r="C13" s="9" t="inlineStr">
        <is>
          <t>GS</t>
        </is>
      </c>
      <c r="D13" s="9" t="inlineStr">
        <is>
          <t>Александров</t>
        </is>
      </c>
      <c r="E13" s="9" t="inlineStr">
        <is>
          <t>Авансовий платіж</t>
        </is>
      </c>
      <c r="F13" s="10" t="n">
        <v>758160</v>
      </c>
      <c r="G13" s="10" t="n">
        <v>758160</v>
      </c>
      <c r="H13" s="11">
        <f>F13-G13</f>
        <v/>
      </c>
      <c r="I13" s="9" t="inlineStr">
        <is>
          <t>отримано</t>
        </is>
      </c>
      <c r="J13" t="inlineStr">
        <is>
          <t>2026-05</t>
        </is>
      </c>
      <c r="K13" s="12" t="inlineStr"/>
    </row>
    <row r="14">
      <c r="A14" s="8" t="n">
        <v>46162</v>
      </c>
      <c r="B14" s="9" t="n">
        <v>7536</v>
      </c>
      <c r="C14" s="9" t="inlineStr">
        <is>
          <t>А Ранчо “Едельвейс”  AGM  171PV</t>
        </is>
      </c>
      <c r="D14" s="9" t="inlineStr">
        <is>
          <t>Іщук</t>
        </is>
      </c>
      <c r="E14" s="9" t="inlineStr">
        <is>
          <t>Четвертий платіж</t>
        </is>
      </c>
      <c r="F14" s="10" t="n">
        <v>200000</v>
      </c>
      <c r="G14" s="10" t="n">
        <v>200000</v>
      </c>
      <c r="H14" s="11">
        <f>F14-G14</f>
        <v/>
      </c>
      <c r="I14" s="9" t="inlineStr">
        <is>
          <t>отримано</t>
        </is>
      </c>
      <c r="J14" t="inlineStr">
        <is>
          <t>2026-05</t>
        </is>
      </c>
      <c r="K14" s="12" t="inlineStr"/>
    </row>
    <row r="15">
      <c r="A15" s="8" t="n">
        <v>46164</v>
      </c>
      <c r="B15" s="9" t="n">
        <v>8238</v>
      </c>
      <c r="C15" s="9" t="inlineStr">
        <is>
          <t>А UTEM SOLAR  SCP Taurus 190PV</t>
        </is>
      </c>
      <c r="D15" s="9" t="inlineStr">
        <is>
          <t>Іщук</t>
        </is>
      </c>
      <c r="E15" s="9" t="inlineStr">
        <is>
          <t>Авансовий платіж</t>
        </is>
      </c>
      <c r="F15" s="10" t="n">
        <v>2050102</v>
      </c>
      <c r="G15" s="10" t="n">
        <v>2050102</v>
      </c>
      <c r="H15" s="11">
        <f>F15-G15</f>
        <v/>
      </c>
      <c r="I15" s="9" t="inlineStr">
        <is>
          <t>отримано</t>
        </is>
      </c>
      <c r="J15" t="inlineStr">
        <is>
          <t>2026-05</t>
        </is>
      </c>
      <c r="K15" s="12" t="inlineStr">
        <is>
          <t>$45 700</t>
        </is>
      </c>
    </row>
    <row r="16">
      <c r="A16" s="8" t="n">
        <v>46166</v>
      </c>
      <c r="B16" s="9" t="n">
        <v>7536</v>
      </c>
      <c r="C16" s="9" t="inlineStr">
        <is>
          <t>А Ранчо “Едельвейс”  AGM  171PV</t>
        </is>
      </c>
      <c r="D16" s="9" t="inlineStr">
        <is>
          <t>Іщук</t>
        </is>
      </c>
      <c r="E16" s="9" t="inlineStr">
        <is>
          <t>П'ятий платіж</t>
        </is>
      </c>
      <c r="F16" s="10" t="n">
        <v>67972.8</v>
      </c>
      <c r="G16" s="10" t="n">
        <v>67972.8</v>
      </c>
      <c r="H16" s="11">
        <f>F16-G16</f>
        <v/>
      </c>
      <c r="I16" s="9" t="inlineStr">
        <is>
          <t>отримано</t>
        </is>
      </c>
      <c r="J16" t="inlineStr">
        <is>
          <t>2026-05</t>
        </is>
      </c>
      <c r="K16" s="12" t="inlineStr"/>
    </row>
    <row r="17">
      <c r="A17" s="8" t="n">
        <v>46167</v>
      </c>
      <c r="B17" s="9" t="n">
        <v>7508</v>
      </c>
      <c r="C17" s="9" t="inlineStr">
        <is>
          <t>8602 Євген Весільна тераса Подорожнє</t>
        </is>
      </c>
      <c r="D17" s="9" t="inlineStr">
        <is>
          <t>Заянчковський</t>
        </is>
      </c>
      <c r="E17" s="9" t="inlineStr">
        <is>
          <t>Авансовий платіж</t>
        </is>
      </c>
      <c r="F17" s="10" t="n">
        <v>1245999.94</v>
      </c>
      <c r="G17" s="10" t="n">
        <v>1245999.94</v>
      </c>
      <c r="H17" s="11">
        <f>F17-G17</f>
        <v/>
      </c>
      <c r="I17" s="9" t="inlineStr">
        <is>
          <t>отримано</t>
        </is>
      </c>
      <c r="J17" t="inlineStr">
        <is>
          <t>2026-05</t>
        </is>
      </c>
      <c r="K17" s="12" t="inlineStr"/>
    </row>
    <row r="18">
      <c r="A18" s="8" t="n">
        <v>46168</v>
      </c>
      <c r="B18" s="9" t="n">
        <v>7508</v>
      </c>
      <c r="C18" s="9" t="inlineStr">
        <is>
          <t>8602 Євген Весільна тераса Подорожнє</t>
        </is>
      </c>
      <c r="D18" s="9" t="inlineStr">
        <is>
          <t>Заянчковський</t>
        </is>
      </c>
      <c r="E18" s="9" t="inlineStr">
        <is>
          <t>Другий платіж</t>
        </is>
      </c>
      <c r="F18" s="10" t="n">
        <v>751000.0600000001</v>
      </c>
      <c r="G18" s="10" t="n">
        <v>751000.0600000001</v>
      </c>
      <c r="H18" s="11">
        <f>F18-G18</f>
        <v/>
      </c>
      <c r="I18" s="9" t="inlineStr">
        <is>
          <t>отримано</t>
        </is>
      </c>
      <c r="J18" t="inlineStr">
        <is>
          <t>2026-05</t>
        </is>
      </c>
      <c r="K18" s="12" t="inlineStr"/>
    </row>
    <row r="19">
      <c r="A19" s="8" t="n">
        <v>46168</v>
      </c>
      <c r="B19" s="9" t="n">
        <v>8140</v>
      </c>
      <c r="C19" s="9" t="inlineStr">
        <is>
          <t>В Газинвестпроект фундамент Киев</t>
        </is>
      </c>
      <c r="D19" s="9" t="inlineStr">
        <is>
          <t>Заянчковський</t>
        </is>
      </c>
      <c r="E19" s="9" t="inlineStr">
        <is>
          <t>Авансовий платіж</t>
        </is>
      </c>
      <c r="F19" s="10" t="n">
        <v>150000</v>
      </c>
      <c r="G19" s="10" t="n">
        <v>150000</v>
      </c>
      <c r="H19" s="11">
        <f>F19-G19</f>
        <v/>
      </c>
      <c r="I19" s="9" t="inlineStr">
        <is>
          <t>отримано</t>
        </is>
      </c>
      <c r="J19" t="inlineStr">
        <is>
          <t>2026-05</t>
        </is>
      </c>
      <c r="K19" s="12" t="inlineStr"/>
    </row>
    <row r="20">
      <c r="A20" s="8" t="n">
        <v>46169</v>
      </c>
      <c r="B20" s="9" t="n">
        <v>6842</v>
      </c>
      <c r="C20" s="9" t="inlineStr">
        <is>
          <t>2</t>
        </is>
      </c>
      <c r="D20" s="9" t="inlineStr">
        <is>
          <t>Александров</t>
        </is>
      </c>
      <c r="E20" s="9" t="inlineStr">
        <is>
          <t>Авансовий платіж</t>
        </is>
      </c>
      <c r="F20" s="10" t="n">
        <v>3308968</v>
      </c>
      <c r="G20" s="10" t="n">
        <v>3308968</v>
      </c>
      <c r="H20" s="11">
        <f>F20-G20</f>
        <v/>
      </c>
      <c r="I20" s="9" t="inlineStr">
        <is>
          <t>отримано</t>
        </is>
      </c>
      <c r="J20" t="inlineStr">
        <is>
          <t>2026-05</t>
        </is>
      </c>
      <c r="K20" s="12" t="inlineStr"/>
    </row>
    <row r="21">
      <c r="A21" s="8" t="n">
        <v>46169</v>
      </c>
      <c r="B21" s="9" t="n">
        <v>7960</v>
      </c>
      <c r="C21" s="9" t="inlineStr">
        <is>
          <t>Сірокко Sirocco вітрова ел ст Львів</t>
        </is>
      </c>
      <c r="D21" s="9" t="inlineStr">
        <is>
          <t>Іщук</t>
        </is>
      </c>
      <c r="E21" s="9" t="inlineStr">
        <is>
          <t>Авансовий платіж</t>
        </is>
      </c>
      <c r="F21" s="10" t="n">
        <v>99610.8</v>
      </c>
      <c r="G21" s="10" t="n">
        <v>99610.8</v>
      </c>
      <c r="H21" s="11">
        <f>F21-G21</f>
        <v/>
      </c>
      <c r="I21" s="9" t="inlineStr">
        <is>
          <t>отримано</t>
        </is>
      </c>
      <c r="J21" t="inlineStr">
        <is>
          <t>2026-05</t>
        </is>
      </c>
      <c r="K21" s="12" t="inlineStr"/>
    </row>
    <row r="22">
      <c r="A22" s="8" t="n">
        <v>46169</v>
      </c>
      <c r="B22" s="9" t="n">
        <v>8454</v>
      </c>
      <c r="C22" s="9" t="inlineStr">
        <is>
          <t>Олександр каркасний Верховина</t>
        </is>
      </c>
      <c r="D22" s="9" t="inlineStr">
        <is>
          <t>Донська</t>
        </is>
      </c>
      <c r="E22" s="9" t="inlineStr">
        <is>
          <t>Авансовий платіж</t>
        </is>
      </c>
      <c r="F22" s="10" t="n">
        <v>103606.2</v>
      </c>
      <c r="G22" s="10" t="n">
        <v>103606.2</v>
      </c>
      <c r="H22" s="11">
        <f>F22-G22</f>
        <v/>
      </c>
      <c r="I22" s="9" t="inlineStr">
        <is>
          <t>отримано</t>
        </is>
      </c>
      <c r="J22" t="inlineStr">
        <is>
          <t>2026-05</t>
        </is>
      </c>
      <c r="K22" s="12" t="inlineStr"/>
    </row>
    <row r="23">
      <c r="A23" s="8" t="n">
        <v>46170</v>
      </c>
      <c r="B23" s="9" t="n">
        <v>8188</v>
      </c>
      <c r="C23" s="9" t="inlineStr">
        <is>
          <t>Фундамент Ужгород Стефанія</t>
        </is>
      </c>
      <c r="D23" s="9" t="inlineStr">
        <is>
          <t>Іщук</t>
        </is>
      </c>
      <c r="E23" s="9" t="inlineStr">
        <is>
          <t>Авансовий платіж</t>
        </is>
      </c>
      <c r="F23" s="10" t="n">
        <v>206200</v>
      </c>
      <c r="G23" s="10" t="n">
        <v>206200</v>
      </c>
      <c r="H23" s="11">
        <f>F23-G23</f>
        <v/>
      </c>
      <c r="I23" s="9" t="inlineStr">
        <is>
          <t>отримано</t>
        </is>
      </c>
      <c r="J23" t="inlineStr">
        <is>
          <t>2026-05</t>
        </is>
      </c>
      <c r="K23" s="12" t="inlineStr"/>
    </row>
    <row r="24">
      <c r="A24" s="8" t="n">
        <v>46170</v>
      </c>
      <c r="B24" s="9" t="n">
        <v>8454</v>
      </c>
      <c r="C24" s="9" t="inlineStr">
        <is>
          <t>Олександр каркасний Верховина</t>
        </is>
      </c>
      <c r="D24" s="9" t="inlineStr">
        <is>
          <t>Донська</t>
        </is>
      </c>
      <c r="E24" s="9" t="inlineStr">
        <is>
          <t>Другий платіж</t>
        </is>
      </c>
      <c r="F24" s="10" t="n">
        <v>69666</v>
      </c>
      <c r="G24" s="10" t="n">
        <v>69666</v>
      </c>
      <c r="H24" s="11">
        <f>F24-G24</f>
        <v/>
      </c>
      <c r="I24" s="9" t="inlineStr">
        <is>
          <t>отримано</t>
        </is>
      </c>
      <c r="J24" t="inlineStr">
        <is>
          <t>2026-05</t>
        </is>
      </c>
      <c r="K24" s="12" t="inlineStr"/>
    </row>
    <row r="25">
      <c r="A25" s="8" t="n">
        <v>46170</v>
      </c>
      <c r="B25" s="9" t="n">
        <v>8544</v>
      </c>
      <c r="C25" s="9" t="inlineStr">
        <is>
          <t>Isolar фланець Хмельницький</t>
        </is>
      </c>
      <c r="D25" s="9" t="inlineStr">
        <is>
          <t>Донська</t>
        </is>
      </c>
      <c r="E25" s="9" t="inlineStr">
        <is>
          <t>Авансовий платіж</t>
        </is>
      </c>
      <c r="F25" s="10" t="n">
        <v>261990</v>
      </c>
      <c r="G25" s="10" t="n">
        <v>261990</v>
      </c>
      <c r="H25" s="11">
        <f>F25-G25</f>
        <v/>
      </c>
      <c r="I25" s="9" t="inlineStr">
        <is>
          <t>отримано</t>
        </is>
      </c>
      <c r="J25" t="inlineStr">
        <is>
          <t>2026-05</t>
        </is>
      </c>
      <c r="K25" s="12" t="inlineStr"/>
    </row>
    <row r="26">
      <c r="A26" s="8" t="n">
        <v>46175</v>
      </c>
      <c r="B26" s="9" t="n">
        <v>5682</v>
      </c>
      <c r="C26" s="9" t="inlineStr">
        <is>
          <t>А Сцена Корчин</t>
        </is>
      </c>
      <c r="D26" s="9" t="inlineStr">
        <is>
          <t>Іщук</t>
        </is>
      </c>
      <c r="E26" s="9" t="inlineStr">
        <is>
          <t>Авансовий платіж</t>
        </is>
      </c>
      <c r="F26" s="10" t="n">
        <v>87150</v>
      </c>
      <c r="G26" s="10" t="n">
        <v>87150</v>
      </c>
      <c r="H26" s="11">
        <f>F26-G26</f>
        <v/>
      </c>
      <c r="I26" s="9" t="inlineStr">
        <is>
          <t>отримано</t>
        </is>
      </c>
      <c r="J26" t="inlineStr">
        <is>
          <t>2026-06</t>
        </is>
      </c>
      <c r="K26" s="12" t="inlineStr"/>
    </row>
    <row r="27">
      <c r="A27" s="8" t="n">
        <v>46175</v>
      </c>
      <c r="B27" s="9" t="n">
        <v>8185</v>
      </c>
      <c r="C27" s="9" t="inlineStr">
        <is>
          <t>Фундамент Hytte House Development Славське</t>
        </is>
      </c>
      <c r="D27" s="9" t="inlineStr">
        <is>
          <t>Донська</t>
        </is>
      </c>
      <c r="E27" s="9" t="inlineStr">
        <is>
          <t>Авансовий платіж</t>
        </is>
      </c>
      <c r="F27" s="10" t="n">
        <v>168024</v>
      </c>
      <c r="G27" s="10" t="n">
        <v>168024</v>
      </c>
      <c r="H27" s="11">
        <f>F27-G27</f>
        <v/>
      </c>
      <c r="I27" s="9" t="inlineStr">
        <is>
          <t>отримано</t>
        </is>
      </c>
      <c r="J27" t="inlineStr">
        <is>
          <t>2026-06</t>
        </is>
      </c>
      <c r="K27" s="12" t="inlineStr"/>
    </row>
    <row r="28">
      <c r="A28" s="8" t="n">
        <v>46177</v>
      </c>
      <c r="B28" s="9" t="n">
        <v>7894</v>
      </c>
      <c r="C28" s="9" t="inlineStr">
        <is>
          <t>SCP Фора  Хотів</t>
        </is>
      </c>
      <c r="D28" s="9" t="inlineStr">
        <is>
          <t>Донська</t>
        </is>
      </c>
      <c r="E28" s="9" t="inlineStr">
        <is>
          <t>Авансовий платіж</t>
        </is>
      </c>
      <c r="F28" s="10" t="n">
        <v>1487743.97</v>
      </c>
      <c r="G28" s="10" t="n">
        <v>1487743.97</v>
      </c>
      <c r="H28" s="11">
        <f>F28-G28</f>
        <v/>
      </c>
      <c r="I28" s="9" t="inlineStr">
        <is>
          <t>отримано</t>
        </is>
      </c>
      <c r="J28" t="inlineStr">
        <is>
          <t>2026-06</t>
        </is>
      </c>
      <c r="K28" s="12" t="inlineStr"/>
    </row>
    <row r="29">
      <c r="A29" s="8" t="n">
        <v>46182</v>
      </c>
      <c r="B29" s="9" t="n">
        <v>8544</v>
      </c>
      <c r="C29" s="9" t="inlineStr">
        <is>
          <t>Isolar фланець Хмельницький</t>
        </is>
      </c>
      <c r="D29" s="9" t="inlineStr">
        <is>
          <t>Донська</t>
        </is>
      </c>
      <c r="E29" s="9" t="inlineStr">
        <is>
          <t>Другий платіж</t>
        </is>
      </c>
      <c r="F29" s="10" t="n">
        <v>7990.8</v>
      </c>
      <c r="G29" s="10" t="n">
        <v>7990.8</v>
      </c>
      <c r="H29" s="11">
        <f>F29-G29</f>
        <v/>
      </c>
      <c r="I29" s="9" t="inlineStr">
        <is>
          <t>отримано</t>
        </is>
      </c>
      <c r="J29" t="inlineStr">
        <is>
          <t>2026-06</t>
        </is>
      </c>
      <c r="K29" s="12" t="inlineStr"/>
    </row>
    <row r="30">
      <c r="A30" s="8" t="n">
        <v>46184</v>
      </c>
      <c r="B30" s="9" t="n">
        <v>3456</v>
      </c>
      <c r="C30" s="9" t="inlineStr">
        <is>
          <t>А Підселання фундаменту</t>
        </is>
      </c>
      <c r="D30" s="9" t="inlineStr">
        <is>
          <t>Донська</t>
        </is>
      </c>
      <c r="E30" s="9" t="inlineStr">
        <is>
          <t>Другий платіж</t>
        </is>
      </c>
      <c r="F30" s="10" t="n">
        <v>783940.92</v>
      </c>
      <c r="G30" s="10" t="n">
        <v>783940.92</v>
      </c>
      <c r="H30" s="11">
        <f>F30-G30</f>
        <v/>
      </c>
      <c r="I30" s="9" t="inlineStr">
        <is>
          <t>отримано</t>
        </is>
      </c>
      <c r="J30" t="inlineStr">
        <is>
          <t>2026-06</t>
        </is>
      </c>
      <c r="K30" s="12" t="inlineStr"/>
    </row>
    <row r="31">
      <c r="A31" s="8" t="n">
        <v>46184</v>
      </c>
      <c r="B31" s="9" t="n">
        <v>8360</v>
      </c>
      <c r="C31" s="9" t="inlineStr">
        <is>
          <t>Хаджет Лебедівка</t>
        </is>
      </c>
      <c r="D31" s="9" t="inlineStr">
        <is>
          <t>Донська</t>
        </is>
      </c>
      <c r="E31" s="9" t="inlineStr">
        <is>
          <t>Другий платіж</t>
        </is>
      </c>
      <c r="F31" s="10" t="n">
        <v>95968.3</v>
      </c>
      <c r="G31" s="10" t="n">
        <v>95968.3</v>
      </c>
      <c r="H31" s="11">
        <f>F31-G31</f>
        <v/>
      </c>
      <c r="I31" s="9" t="inlineStr">
        <is>
          <t>отримано</t>
        </is>
      </c>
      <c r="J31" t="inlineStr">
        <is>
          <t>2026-06</t>
        </is>
      </c>
      <c r="K31" s="12" t="inlineStr"/>
    </row>
    <row r="32">
      <c r="A32" s="8" t="n">
        <v>46185</v>
      </c>
      <c r="B32" s="9" t="n">
        <v>7474</v>
      </c>
      <c r="C32" s="9" t="inlineStr">
        <is>
          <t>А Головне управління Національної поліції в Одеській області  SCP  15PS</t>
        </is>
      </c>
      <c r="D32" s="9" t="inlineStr">
        <is>
          <t>Іщук</t>
        </is>
      </c>
      <c r="E32" s="9" t="inlineStr">
        <is>
          <t>П'ятий платіж</t>
        </is>
      </c>
      <c r="F32" s="10" t="n">
        <v>1749999</v>
      </c>
      <c r="G32" s="10" t="n">
        <v>1749999</v>
      </c>
      <c r="H32" s="11">
        <f>F32-G32</f>
        <v/>
      </c>
      <c r="I32" s="9" t="inlineStr">
        <is>
          <t>отримано</t>
        </is>
      </c>
      <c r="J32" t="inlineStr">
        <is>
          <t>2026-06</t>
        </is>
      </c>
      <c r="K32" s="12" t="inlineStr"/>
    </row>
    <row r="33">
      <c r="A33" s="8" t="n">
        <v>46187</v>
      </c>
      <c r="B33" s="9" t="n">
        <v>8140</v>
      </c>
      <c r="C33" s="9" t="inlineStr">
        <is>
          <t>В Газинвестпроект фундамент Киев</t>
        </is>
      </c>
      <c r="D33" s="9" t="inlineStr">
        <is>
          <t>Заянчковський</t>
        </is>
      </c>
      <c r="E33" s="9" t="inlineStr">
        <is>
          <t>Другий платіж</t>
        </is>
      </c>
      <c r="F33" s="10" t="n">
        <v>86041.2</v>
      </c>
      <c r="G33" s="10" t="n">
        <v>86041.2</v>
      </c>
      <c r="H33" s="11">
        <f>F33-G33</f>
        <v/>
      </c>
      <c r="I33" s="9" t="inlineStr">
        <is>
          <t>отримано</t>
        </is>
      </c>
      <c r="J33" t="inlineStr">
        <is>
          <t>2026-06</t>
        </is>
      </c>
      <c r="K33" s="12" t="inlineStr"/>
    </row>
    <row r="34">
      <c r="A34" s="8" t="n">
        <v>46188</v>
      </c>
      <c r="B34" s="9" t="n">
        <v>6406</v>
      </c>
      <c r="C34" s="9" t="inlineStr">
        <is>
          <t>Максим Яловий Чинадієво</t>
        </is>
      </c>
      <c r="D34" s="9" t="inlineStr">
        <is>
          <t>Іщук</t>
        </is>
      </c>
      <c r="E34" s="9" t="inlineStr">
        <is>
          <t>Авансовий платіж</t>
        </is>
      </c>
      <c r="F34" s="10" t="n">
        <v>154980</v>
      </c>
      <c r="G34" s="10" t="n">
        <v>154980</v>
      </c>
      <c r="H34" s="11">
        <f>F34-G34</f>
        <v/>
      </c>
      <c r="I34" s="9" t="inlineStr">
        <is>
          <t>отримано</t>
        </is>
      </c>
      <c r="J34" t="inlineStr">
        <is>
          <t>2026-06</t>
        </is>
      </c>
      <c r="K34" s="12" t="inlineStr"/>
    </row>
    <row r="35">
      <c r="A35" s="8" t="n">
        <v>46190</v>
      </c>
      <c r="B35" s="9" t="n">
        <v>8008</v>
      </c>
      <c r="C35" s="9" t="inlineStr">
        <is>
          <t>Модулі Григорівка</t>
        </is>
      </c>
      <c r="D35" s="9" t="inlineStr">
        <is>
          <t>Донська</t>
        </is>
      </c>
      <c r="E35" s="9" t="inlineStr">
        <is>
          <t>Другий платіж</t>
        </is>
      </c>
      <c r="F35" s="10" t="n">
        <v>178088.4</v>
      </c>
      <c r="G35" s="10" t="n">
        <v>178088.4</v>
      </c>
      <c r="H35" s="11">
        <f>F35-G35</f>
        <v/>
      </c>
      <c r="I35" s="9" t="inlineStr">
        <is>
          <t>отримано</t>
        </is>
      </c>
      <c r="J35" t="inlineStr">
        <is>
          <t>2026-06</t>
        </is>
      </c>
      <c r="K35" s="12" t="inlineStr"/>
    </row>
    <row r="36">
      <c r="A36" s="8" t="n">
        <v>46195</v>
      </c>
      <c r="B36" s="9" t="n">
        <v>8644</v>
      </c>
      <c r="C36" s="9" t="inlineStr">
        <is>
          <t>Solars ГШ 1,7+надставки 3,5</t>
        </is>
      </c>
      <c r="D36" s="9" t="inlineStr">
        <is>
          <t>Хома</t>
        </is>
      </c>
      <c r="E36" s="9" t="inlineStr">
        <is>
          <t>Авансовий платіж</t>
        </is>
      </c>
      <c r="F36" s="10" t="n">
        <v>415900</v>
      </c>
      <c r="G36" s="10" t="n">
        <v>415900</v>
      </c>
      <c r="H36" s="11">
        <f>F36-G36</f>
        <v/>
      </c>
      <c r="I36" s="9" t="inlineStr">
        <is>
          <t>отримано</t>
        </is>
      </c>
      <c r="J36" t="inlineStr">
        <is>
          <t>2026-06</t>
        </is>
      </c>
      <c r="K36" s="12" t="inlineStr"/>
    </row>
    <row r="37">
      <c r="A37" s="8" t="n">
        <v>46196</v>
      </c>
      <c r="B37" s="9" t="n">
        <v>5682</v>
      </c>
      <c r="C37" s="9" t="inlineStr">
        <is>
          <t>А Сцена Корчин</t>
        </is>
      </c>
      <c r="D37" s="9" t="inlineStr">
        <is>
          <t>Іщук</t>
        </is>
      </c>
      <c r="E37" s="9" t="inlineStr">
        <is>
          <t>Другий платіж</t>
        </is>
      </c>
      <c r="F37" s="10" t="n">
        <v>369984.96</v>
      </c>
      <c r="G37" s="10" t="n">
        <v>369984.96</v>
      </c>
      <c r="H37" s="11">
        <f>F37-G37</f>
        <v/>
      </c>
      <c r="I37" s="9" t="inlineStr">
        <is>
          <t>отримано</t>
        </is>
      </c>
      <c r="J37" t="inlineStr">
        <is>
          <t>2026-06</t>
        </is>
      </c>
      <c r="K37" s="12" t="inlineStr"/>
    </row>
    <row r="38">
      <c r="A38" s="8" t="n">
        <v>46197</v>
      </c>
      <c r="B38" s="9" t="n">
        <v>8360</v>
      </c>
      <c r="C38" s="9" t="inlineStr">
        <is>
          <t>Хаджет Лебедівка</t>
        </is>
      </c>
      <c r="D38" s="9" t="inlineStr">
        <is>
          <t>Донська</t>
        </is>
      </c>
      <c r="E38" s="9" t="inlineStr">
        <is>
          <t>Третій платіж</t>
        </is>
      </c>
      <c r="F38" s="10" t="n">
        <v>95968.3</v>
      </c>
      <c r="G38" s="10" t="n">
        <v>95968.3</v>
      </c>
      <c r="H38" s="11">
        <f>F38-G38</f>
        <v/>
      </c>
      <c r="I38" s="9" t="inlineStr">
        <is>
          <t>отримано</t>
        </is>
      </c>
      <c r="J38" t="inlineStr">
        <is>
          <t>2026-06</t>
        </is>
      </c>
      <c r="K38" s="12" t="inlineStr"/>
    </row>
    <row r="39">
      <c r="A39" s="8" t="n">
        <v>46202</v>
      </c>
      <c r="B39" s="9" t="n">
        <v>6704</v>
      </c>
      <c r="C39" s="9" t="inlineStr">
        <is>
          <t>SCP Taurus 236PS</t>
        </is>
      </c>
      <c r="D39" s="9" t="inlineStr">
        <is>
          <t>Хома</t>
        </is>
      </c>
      <c r="E39" s="9" t="inlineStr">
        <is>
          <t>Другий платіж</t>
        </is>
      </c>
      <c r="F39" s="10" t="n">
        <v>1818000</v>
      </c>
      <c r="G39" s="10" t="n">
        <v>1818000</v>
      </c>
      <c r="H39" s="11">
        <f>F39-G39</f>
        <v/>
      </c>
      <c r="I39" s="9" t="inlineStr">
        <is>
          <t>отримано</t>
        </is>
      </c>
      <c r="J39" t="inlineStr">
        <is>
          <t>2026-06</t>
        </is>
      </c>
      <c r="K39" s="12" t="inlineStr">
        <is>
          <t>€36 000</t>
        </is>
      </c>
    </row>
    <row r="40">
      <c r="A40" s="8" t="n">
        <v>46204</v>
      </c>
      <c r="B40" s="9" t="n">
        <v>4766</v>
      </c>
      <c r="C40" s="9" t="inlineStr">
        <is>
          <t>ALTECO Carport Model Taurus 280кВт</t>
        </is>
      </c>
      <c r="D40" s="9" t="inlineStr">
        <is>
          <t>Заянчковський</t>
        </is>
      </c>
      <c r="E40" s="9" t="inlineStr">
        <is>
          <t>Авансовий платіж</t>
        </is>
      </c>
      <c r="F40" s="10" t="n">
        <v>20000</v>
      </c>
      <c r="G40" s="10" t="n">
        <v>20000</v>
      </c>
      <c r="H40" s="11">
        <f>F40-G40</f>
        <v/>
      </c>
      <c r="I40" s="9" t="inlineStr">
        <is>
          <t>отримано</t>
        </is>
      </c>
      <c r="J40" t="inlineStr">
        <is>
          <t>2026-07</t>
        </is>
      </c>
      <c r="K40" s="12" t="inlineStr"/>
    </row>
    <row r="41">
      <c r="A41" s="8" t="n">
        <v>46209</v>
      </c>
      <c r="B41" s="9" t="n">
        <v>8878</v>
      </c>
      <c r="C41" s="9" t="inlineStr">
        <is>
          <t>А ТОВ КОМПАНІЯ ВОЛЬТ СЕРВІС ГРУП</t>
        </is>
      </c>
      <c r="D41" s="9" t="inlineStr">
        <is>
          <t>Заянчковський</t>
        </is>
      </c>
      <c r="E41" s="9" t="inlineStr">
        <is>
          <t>Авансовий платіж</t>
        </is>
      </c>
      <c r="F41" s="10" t="n">
        <v>410320</v>
      </c>
      <c r="G41" s="10" t="n">
        <v>410320</v>
      </c>
      <c r="H41" s="11">
        <f>F41-G41</f>
        <v/>
      </c>
      <c r="I41" s="9" t="inlineStr">
        <is>
          <t>отримано</t>
        </is>
      </c>
      <c r="J41" t="inlineStr">
        <is>
          <t>2026-07</t>
        </is>
      </c>
      <c r="K41" s="12" t="inlineStr"/>
    </row>
    <row r="42">
      <c r="A42" s="8" t="n">
        <v>46210</v>
      </c>
      <c r="B42" s="9" t="n">
        <v>8008</v>
      </c>
      <c r="C42" s="9" t="inlineStr">
        <is>
          <t>Модулі Григорівка</t>
        </is>
      </c>
      <c r="D42" s="9" t="inlineStr">
        <is>
          <t>Донська</t>
        </is>
      </c>
      <c r="E42" s="9" t="inlineStr">
        <is>
          <t>Третій платіж</t>
        </is>
      </c>
      <c r="F42" s="10" t="n">
        <v>178088.4</v>
      </c>
      <c r="G42" s="10" t="n">
        <v>178088.4</v>
      </c>
      <c r="H42" s="11">
        <f>F42-G42</f>
        <v/>
      </c>
      <c r="I42" s="9" t="inlineStr">
        <is>
          <t>отримано</t>
        </is>
      </c>
      <c r="J42" t="inlineStr">
        <is>
          <t>2026-07</t>
        </is>
      </c>
      <c r="K42" s="12" t="inlineStr"/>
    </row>
    <row r="43">
      <c r="A43" s="8" t="n">
        <v>46213</v>
      </c>
      <c r="B43" s="9" t="n">
        <v>8454</v>
      </c>
      <c r="C43" s="9" t="inlineStr">
        <is>
          <t>Олександр каркасний Верховина</t>
        </is>
      </c>
      <c r="D43" s="9" t="inlineStr">
        <is>
          <t>Донська</t>
        </is>
      </c>
      <c r="E43" s="9" t="inlineStr">
        <is>
          <t>Третій платіж</t>
        </is>
      </c>
      <c r="F43" s="10" t="n">
        <v>69666</v>
      </c>
      <c r="G43" s="10" t="n">
        <v>69666</v>
      </c>
      <c r="H43" s="11">
        <f>F43-G43</f>
        <v/>
      </c>
      <c r="I43" s="9" t="inlineStr">
        <is>
          <t>отримано</t>
        </is>
      </c>
      <c r="J43" t="inlineStr">
        <is>
          <t>2026-07</t>
        </is>
      </c>
      <c r="K43" s="12" t="inlineStr"/>
    </row>
    <row r="44">
      <c r="A44" s="8" t="n">
        <v>46216</v>
      </c>
      <c r="B44" s="9" t="n">
        <v>8496</v>
      </c>
      <c r="C44" s="9" t="inlineStr">
        <is>
          <t>А Greensource  SGM  110MWp</t>
        </is>
      </c>
      <c r="D44" s="9" t="inlineStr">
        <is>
          <t>Іщук</t>
        </is>
      </c>
      <c r="E44" s="9" t="inlineStr">
        <is>
          <t>Авансовий платіж</t>
        </is>
      </c>
      <c r="F44" s="10" t="n">
        <v>444400</v>
      </c>
      <c r="G44" s="10" t="n">
        <v>444400</v>
      </c>
      <c r="H44" s="11">
        <f>F44-G44</f>
        <v/>
      </c>
      <c r="I44" s="9" t="inlineStr">
        <is>
          <t>отримано</t>
        </is>
      </c>
      <c r="J44" t="inlineStr">
        <is>
          <t>2026-07</t>
        </is>
      </c>
      <c r="K44" s="12" t="inlineStr">
        <is>
          <t>€8 800</t>
        </is>
      </c>
    </row>
    <row r="45">
      <c r="A45" s="8" t="n">
        <v>46216</v>
      </c>
      <c r="B45" s="9" t="n">
        <v>8898</v>
      </c>
      <c r="C45" s="9" t="inlineStr">
        <is>
          <t>Григорівка №3</t>
        </is>
      </c>
      <c r="D45" s="9" t="inlineStr">
        <is>
          <t>Донська</t>
        </is>
      </c>
      <c r="E45" s="9" t="inlineStr">
        <is>
          <t>Авансовий платіж</t>
        </is>
      </c>
      <c r="F45" s="10" t="n">
        <v>290403.65</v>
      </c>
      <c r="G45" s="10" t="n">
        <v>290403.65</v>
      </c>
      <c r="H45" s="11">
        <f>F45-G45</f>
        <v/>
      </c>
      <c r="I45" s="9" t="inlineStr">
        <is>
          <t>отримано</t>
        </is>
      </c>
      <c r="J45" t="inlineStr">
        <is>
          <t>2026-07</t>
        </is>
      </c>
      <c r="K45" s="12" t="inlineStr"/>
    </row>
    <row r="46">
      <c r="A46" s="8" t="n">
        <v>46217</v>
      </c>
      <c r="B46" s="9" t="n">
        <v>4766</v>
      </c>
      <c r="C46" s="9" t="inlineStr">
        <is>
          <t>ALTECO Carport Model Taurus 280кВт</t>
        </is>
      </c>
      <c r="D46" s="9" t="inlineStr">
        <is>
          <t>Заянчковський</t>
        </is>
      </c>
      <c r="E46" s="9" t="inlineStr">
        <is>
          <t>Другий платіж</t>
        </is>
      </c>
      <c r="F46" s="10" t="n">
        <v>100000</v>
      </c>
      <c r="G46" s="10" t="n">
        <v>100000</v>
      </c>
      <c r="H46" s="11">
        <f>F46-G46</f>
        <v/>
      </c>
      <c r="I46" s="9" t="inlineStr">
        <is>
          <t>отримано</t>
        </is>
      </c>
      <c r="J46" t="inlineStr">
        <is>
          <t>2026-07</t>
        </is>
      </c>
      <c r="K46" s="12" t="inlineStr"/>
    </row>
    <row r="47">
      <c r="A47" s="8" t="n">
        <v>46217</v>
      </c>
      <c r="B47" s="9" t="n">
        <v>8185</v>
      </c>
      <c r="C47" s="9" t="inlineStr">
        <is>
          <t>Фундамент Hytte House Development Славське</t>
        </is>
      </c>
      <c r="D47" s="9" t="inlineStr">
        <is>
          <t>Донська</t>
        </is>
      </c>
      <c r="E47" s="9" t="inlineStr">
        <is>
          <t>Другий платіж</t>
        </is>
      </c>
      <c r="F47" s="10" t="n">
        <v>63313.4</v>
      </c>
      <c r="G47" s="10" t="n">
        <v>63313.4</v>
      </c>
      <c r="H47" s="11">
        <f>F47-G47</f>
        <v/>
      </c>
      <c r="I47" s="9" t="inlineStr">
        <is>
          <t>отримано</t>
        </is>
      </c>
      <c r="J47" t="inlineStr">
        <is>
          <t>2026-07</t>
        </is>
      </c>
      <c r="K47" s="12" t="inlineStr"/>
    </row>
    <row r="48">
      <c r="A48" s="8" t="n">
        <v>46217</v>
      </c>
      <c r="B48" s="9" t="n">
        <v>8185</v>
      </c>
      <c r="C48" s="9" t="inlineStr">
        <is>
          <t>Фундамент Hytte House Development Славське</t>
        </is>
      </c>
      <c r="D48" s="9" t="inlineStr">
        <is>
          <t>Донська</t>
        </is>
      </c>
      <c r="E48" s="9" t="inlineStr">
        <is>
          <t>Третій платіж</t>
        </is>
      </c>
      <c r="F48" s="10" t="n">
        <v>63313.4</v>
      </c>
      <c r="G48" s="10" t="n">
        <v>63313.4</v>
      </c>
      <c r="H48" s="11">
        <f>F48-G48</f>
        <v/>
      </c>
      <c r="I48" s="9" t="inlineStr">
        <is>
          <t>отримано</t>
        </is>
      </c>
      <c r="J48" t="inlineStr">
        <is>
          <t>2026-07</t>
        </is>
      </c>
      <c r="K48" s="12" t="inlineStr"/>
    </row>
    <row r="49">
      <c r="A49" s="8" t="n">
        <v>46219</v>
      </c>
      <c r="B49" s="9" t="n">
        <v>6352</v>
      </c>
      <c r="C49" s="9" t="inlineStr">
        <is>
          <t>АБМК SCP Blade 8PS</t>
        </is>
      </c>
      <c r="D49" s="9" t="inlineStr">
        <is>
          <t>Донська</t>
        </is>
      </c>
      <c r="E49" s="9" t="inlineStr">
        <is>
          <t>Авансовий платіж</t>
        </is>
      </c>
      <c r="F49" s="10" t="n">
        <v>80000.03999999999</v>
      </c>
      <c r="G49" s="10" t="n">
        <v>80000.03999999999</v>
      </c>
      <c r="H49" s="11">
        <f>F49-G49</f>
        <v/>
      </c>
      <c r="I49" s="9" t="inlineStr">
        <is>
          <t>отримано</t>
        </is>
      </c>
      <c r="J49" t="inlineStr">
        <is>
          <t>2026-07</t>
        </is>
      </c>
      <c r="K49" s="12" t="inlineStr"/>
    </row>
    <row r="50">
      <c r="A50" s="8" t="n">
        <v>46219</v>
      </c>
      <c r="B50" s="9" t="n">
        <v>7002</v>
      </c>
      <c r="C50" s="9" t="inlineStr">
        <is>
          <t>Фора SCP Млиново</t>
        </is>
      </c>
      <c r="D50" s="9" t="inlineStr">
        <is>
          <t>Донська</t>
        </is>
      </c>
      <c r="E50" s="9" t="inlineStr">
        <is>
          <t>Авансовий платіж</t>
        </is>
      </c>
      <c r="F50" s="10" t="n">
        <v>126896.64</v>
      </c>
      <c r="G50" s="10" t="n">
        <v>126896.64</v>
      </c>
      <c r="H50" s="11">
        <f>F50-G50</f>
        <v/>
      </c>
      <c r="I50" s="9" t="inlineStr">
        <is>
          <t>отримано</t>
        </is>
      </c>
      <c r="J50" t="inlineStr">
        <is>
          <t>2026-07</t>
        </is>
      </c>
      <c r="K50" s="12" t="inlineStr"/>
    </row>
    <row r="51">
      <c r="A51" s="8" t="n">
        <v>46219</v>
      </c>
      <c r="B51" s="9" t="n">
        <v>7002</v>
      </c>
      <c r="C51" s="9" t="inlineStr">
        <is>
          <t>Фора SCP Млиново</t>
        </is>
      </c>
      <c r="D51" s="9" t="inlineStr">
        <is>
          <t>Донська</t>
        </is>
      </c>
      <c r="E51" s="9" t="inlineStr">
        <is>
          <t>Третій платіж</t>
        </is>
      </c>
      <c r="F51" s="10" t="n">
        <v>126896.64</v>
      </c>
      <c r="G51" s="10" t="n">
        <v>126896.64</v>
      </c>
      <c r="H51" s="11">
        <f>F51-G51</f>
        <v/>
      </c>
      <c r="I51" s="9" t="inlineStr">
        <is>
          <t>отримано</t>
        </is>
      </c>
      <c r="J51" t="inlineStr">
        <is>
          <t>2026-07</t>
        </is>
      </c>
      <c r="K51" s="12" t="inlineStr"/>
    </row>
    <row r="52">
      <c r="A52" s="8" t="n">
        <v>46219</v>
      </c>
      <c r="B52" s="9" t="n">
        <v>7002</v>
      </c>
      <c r="C52" s="9" t="inlineStr">
        <is>
          <t>Фора SCP Млиново</t>
        </is>
      </c>
      <c r="D52" s="9" t="inlineStr">
        <is>
          <t>Донська</t>
        </is>
      </c>
      <c r="E52" s="9" t="inlineStr">
        <is>
          <t>Четвертий платіж</t>
        </is>
      </c>
      <c r="F52" s="10" t="n">
        <v>573945</v>
      </c>
      <c r="G52" s="10" t="n">
        <v>573945</v>
      </c>
      <c r="H52" s="11">
        <f>F52-G52</f>
        <v/>
      </c>
      <c r="I52" s="9" t="inlineStr">
        <is>
          <t>отримано</t>
        </is>
      </c>
      <c r="J52" t="inlineStr">
        <is>
          <t>2026-07</t>
        </is>
      </c>
      <c r="K52" s="12" t="inlineStr"/>
    </row>
    <row r="53">
      <c r="A53" s="8" t="n">
        <v>46224</v>
      </c>
      <c r="B53" s="9" t="n">
        <v>4766</v>
      </c>
      <c r="C53" s="9" t="inlineStr">
        <is>
          <t>ALTECO Carport Model Taurus 280кВт</t>
        </is>
      </c>
      <c r="D53" s="9" t="inlineStr">
        <is>
          <t>Заянчковський</t>
        </is>
      </c>
      <c r="E53" s="9" t="inlineStr">
        <is>
          <t>Третій платіж</t>
        </is>
      </c>
      <c r="F53" s="10" t="n">
        <v>4368478.98</v>
      </c>
      <c r="G53" s="10" t="n">
        <v>4368478.98</v>
      </c>
      <c r="H53" s="11">
        <f>F53-G53</f>
        <v/>
      </c>
      <c r="I53" s="9" t="inlineStr">
        <is>
          <t>отримано</t>
        </is>
      </c>
      <c r="J53" t="inlineStr">
        <is>
          <t>2026-07</t>
        </is>
      </c>
      <c r="K53" s="12" t="inlineStr"/>
    </row>
    <row r="54">
      <c r="A54" s="8" t="n">
        <v>46225</v>
      </c>
      <c r="B54" s="9" t="n">
        <v>5910</v>
      </c>
      <c r="C54" s="9" t="inlineStr">
        <is>
          <t>SGM Brdovec, Хорватия</t>
        </is>
      </c>
      <c r="D54" s="9" t="inlineStr">
        <is>
          <t>Донська</t>
        </is>
      </c>
      <c r="E54" s="9" t="inlineStr">
        <is>
          <t>Авансовий платіж</t>
        </is>
      </c>
      <c r="F54" s="10" t="n">
        <v>8438045</v>
      </c>
      <c r="G54" s="10" t="n">
        <v>8438045</v>
      </c>
      <c r="H54" s="11">
        <f>F54-G54</f>
        <v/>
      </c>
      <c r="I54" s="9" t="inlineStr">
        <is>
          <t>отримано</t>
        </is>
      </c>
      <c r="J54" t="inlineStr">
        <is>
          <t>2026-07</t>
        </is>
      </c>
      <c r="K54" s="12" t="inlineStr">
        <is>
          <t>€167 090</t>
        </is>
      </c>
    </row>
    <row r="55">
      <c r="A55" s="8" t="n">
        <v>46230</v>
      </c>
      <c r="B55" s="9" t="n">
        <v>6312</v>
      </c>
      <c r="C55" s="9" t="inlineStr">
        <is>
          <t>-26 ГШ Фундамент домобудування Георгій</t>
        </is>
      </c>
      <c r="D55" s="9" t="inlineStr">
        <is>
          <t>Заянчковський</t>
        </is>
      </c>
      <c r="E55" s="9" t="inlineStr">
        <is>
          <t>Авансовий платіж</t>
        </is>
      </c>
      <c r="F55" s="10" t="n">
        <v>543429</v>
      </c>
      <c r="G55" s="10" t="n">
        <v>543429</v>
      </c>
      <c r="H55" s="11">
        <f>F55-G55</f>
        <v/>
      </c>
      <c r="I55" s="9" t="inlineStr">
        <is>
          <t>отримано</t>
        </is>
      </c>
      <c r="J55" t="inlineStr">
        <is>
          <t>2026-07</t>
        </is>
      </c>
      <c r="K55" s="12" t="inlineStr"/>
    </row>
    <row r="56">
      <c r="A56" s="8" t="n">
        <v>46231</v>
      </c>
      <c r="B56" s="9" t="n">
        <v>6130</v>
      </c>
      <c r="C56" s="9" t="inlineStr">
        <is>
          <t>-26 ГШ Фундамент домобудування Євро Простір Марія</t>
        </is>
      </c>
      <c r="D56" s="9" t="inlineStr">
        <is>
          <t>Заянчковський</t>
        </is>
      </c>
      <c r="E56" s="9" t="inlineStr">
        <is>
          <t>Авансовий платіж</t>
        </is>
      </c>
      <c r="F56" s="10" t="n">
        <v>56056</v>
      </c>
      <c r="G56" s="10" t="n">
        <v>56056</v>
      </c>
      <c r="H56" s="11">
        <f>F56-G56</f>
        <v/>
      </c>
      <c r="I56" s="9" t="inlineStr">
        <is>
          <t>отримано</t>
        </is>
      </c>
      <c r="J56" t="inlineStr">
        <is>
          <t>2026-07</t>
        </is>
      </c>
      <c r="K56" s="12" t="inlineStr"/>
    </row>
    <row r="57">
      <c r="A57" s="8" t="n">
        <v>46231</v>
      </c>
      <c r="B57" s="9" t="n">
        <v>6704</v>
      </c>
      <c r="C57" s="9" t="inlineStr">
        <is>
          <t>SCP Taurus 236PS</t>
        </is>
      </c>
      <c r="D57" s="9" t="inlineStr">
        <is>
          <t>Хома</t>
        </is>
      </c>
      <c r="E57" s="9" t="inlineStr">
        <is>
          <t>Третій платіж</t>
        </is>
      </c>
      <c r="F57" s="10" t="n">
        <v>3974350</v>
      </c>
      <c r="G57" s="10" t="n">
        <v>3974350</v>
      </c>
      <c r="H57" s="11">
        <f>F57-G57</f>
        <v/>
      </c>
      <c r="I57" s="9" t="inlineStr">
        <is>
          <t>отримано</t>
        </is>
      </c>
      <c r="J57" t="inlineStr">
        <is>
          <t>2026-07</t>
        </is>
      </c>
      <c r="K57" s="12" t="inlineStr">
        <is>
          <t>€78 700</t>
        </is>
      </c>
    </row>
    <row r="58">
      <c r="A58" s="8" t="n">
        <v>46232</v>
      </c>
      <c r="B58" s="9" t="n">
        <v>6130</v>
      </c>
      <c r="C58" s="9" t="inlineStr">
        <is>
          <t>-26 ГШ Фундамент домобудування Євро Простір Марія</t>
        </is>
      </c>
      <c r="D58" s="9" t="inlineStr">
        <is>
          <t>Заянчковський</t>
        </is>
      </c>
      <c r="E58" s="9" t="inlineStr">
        <is>
          <t>Другий платіж</t>
        </is>
      </c>
      <c r="F58" s="10" t="n">
        <v>50964</v>
      </c>
      <c r="G58" s="10" t="n">
        <v>50964</v>
      </c>
      <c r="H58" s="11">
        <f>F58-G58</f>
        <v/>
      </c>
      <c r="I58" s="9" t="inlineStr">
        <is>
          <t>отримано</t>
        </is>
      </c>
      <c r="J58" t="inlineStr">
        <is>
          <t>2026-07</t>
        </is>
      </c>
      <c r="K58" s="12" t="inlineStr"/>
    </row>
    <row r="59">
      <c r="A59" s="8" t="n">
        <v>46234</v>
      </c>
      <c r="B59" s="9" t="n">
        <v>6130</v>
      </c>
      <c r="C59" s="9" t="inlineStr">
        <is>
          <t>-26 ГШ Фундамент домобудування Євро Простір Марія</t>
        </is>
      </c>
      <c r="D59" s="9" t="inlineStr">
        <is>
          <t>Заянчковський</t>
        </is>
      </c>
      <c r="E59" s="9" t="inlineStr">
        <is>
          <t>Третій платіж</t>
        </is>
      </c>
      <c r="F59" s="10" t="n">
        <v>75762</v>
      </c>
      <c r="G59" s="10" t="n">
        <v>75762</v>
      </c>
      <c r="H59" s="11">
        <f>F59-G59</f>
        <v/>
      </c>
      <c r="I59" s="9" t="inlineStr">
        <is>
          <t>отримано</t>
        </is>
      </c>
      <c r="J59" t="inlineStr">
        <is>
          <t>2026-07</t>
        </is>
      </c>
      <c r="K59" s="12" t="inlineStr"/>
    </row>
    <row r="60">
      <c r="A60" s="8" t="n">
        <v>46237</v>
      </c>
      <c r="B60" s="9" t="n">
        <v>6024</v>
      </c>
      <c r="C60" s="9" t="inlineStr">
        <is>
          <t>-26 ГШ с. Липовиця Черніг. обл. Модулекс</t>
        </is>
      </c>
      <c r="D60" s="9" t="inlineStr">
        <is>
          <t>Заянчковський</t>
        </is>
      </c>
      <c r="E60" s="9" t="inlineStr">
        <is>
          <t>Авансовий платіж</t>
        </is>
      </c>
      <c r="F60" s="10" t="n">
        <v>201600</v>
      </c>
      <c r="G60" s="10" t="n">
        <v>201600</v>
      </c>
      <c r="H60" s="11">
        <f>F60-G60</f>
        <v/>
      </c>
      <c r="I60" s="9" t="inlineStr">
        <is>
          <t>отримано</t>
        </is>
      </c>
      <c r="J60" t="inlineStr">
        <is>
          <t>2026-08</t>
        </is>
      </c>
      <c r="K60" s="12" t="inlineStr"/>
    </row>
    <row r="61">
      <c r="A61" s="8" t="n">
        <v>46237</v>
      </c>
      <c r="B61" s="9" t="n">
        <v>6130</v>
      </c>
      <c r="C61" s="9" t="inlineStr">
        <is>
          <t>-26 ГШ Фундамент домобудування Євро Простір Марія</t>
        </is>
      </c>
      <c r="D61" s="9" t="inlineStr">
        <is>
          <t>Заянчковський</t>
        </is>
      </c>
      <c r="E61" s="9" t="inlineStr">
        <is>
          <t>Четвертий платіж</t>
        </is>
      </c>
      <c r="F61" s="10" t="n">
        <v>36665</v>
      </c>
      <c r="G61" s="10" t="n">
        <v>36665</v>
      </c>
      <c r="H61" s="11">
        <f>F61-G61</f>
        <v/>
      </c>
      <c r="I61" s="9" t="inlineStr">
        <is>
          <t>отримано</t>
        </is>
      </c>
      <c r="J61" t="inlineStr">
        <is>
          <t>2026-08</t>
        </is>
      </c>
      <c r="K61" s="12" t="inlineStr"/>
    </row>
    <row r="62">
      <c r="A62" s="8" t="n">
        <v>46237</v>
      </c>
      <c r="B62" s="9" t="n">
        <v>6352</v>
      </c>
      <c r="C62" s="9" t="inlineStr">
        <is>
          <t>АБМК SCP Blade 8PS</t>
        </is>
      </c>
      <c r="D62" s="9" t="inlineStr">
        <is>
          <t>Донська</t>
        </is>
      </c>
      <c r="E62" s="9" t="inlineStr">
        <is>
          <t>Другий платіж</t>
        </is>
      </c>
      <c r="F62" s="10" t="n">
        <v>1399046.58</v>
      </c>
      <c r="G62" s="10" t="n">
        <v>1399046.58</v>
      </c>
      <c r="H62" s="11">
        <f>F62-G62</f>
        <v/>
      </c>
      <c r="I62" s="9" t="inlineStr">
        <is>
          <t>отримано</t>
        </is>
      </c>
      <c r="J62" t="inlineStr">
        <is>
          <t>2026-08</t>
        </is>
      </c>
      <c r="K62" s="12" t="inlineStr"/>
    </row>
    <row r="63">
      <c r="A63" s="8" t="n">
        <v>46238</v>
      </c>
      <c r="B63" s="9" t="n">
        <v>4766</v>
      </c>
      <c r="C63" s="9" t="inlineStr">
        <is>
          <t>ALTECO Carport Model Taurus 280кВт</t>
        </is>
      </c>
      <c r="D63" s="9" t="inlineStr">
        <is>
          <t>Заянчковський</t>
        </is>
      </c>
      <c r="E63" s="9" t="inlineStr">
        <is>
          <t>Четвертий платіж</t>
        </is>
      </c>
      <c r="F63" s="10" t="n">
        <v>64050</v>
      </c>
      <c r="G63" s="10" t="n">
        <v>64050</v>
      </c>
      <c r="H63" s="11">
        <f>F63-G63</f>
        <v/>
      </c>
      <c r="I63" s="9" t="inlineStr">
        <is>
          <t>отримано</t>
        </is>
      </c>
      <c r="J63" t="inlineStr">
        <is>
          <t>2026-08</t>
        </is>
      </c>
      <c r="K63" s="12" t="inlineStr"/>
    </row>
    <row r="64">
      <c r="A64" s="8" t="n">
        <v>46238</v>
      </c>
      <c r="B64" s="9" t="n">
        <v>8188</v>
      </c>
      <c r="C64" s="9" t="inlineStr">
        <is>
          <t>Фундамент Ужгород Стефанія</t>
        </is>
      </c>
      <c r="D64" s="9" t="inlineStr">
        <is>
          <t>Іщук</t>
        </is>
      </c>
      <c r="E64" s="9" t="inlineStr">
        <is>
          <t>Другий платіж</t>
        </is>
      </c>
      <c r="F64" s="10" t="n">
        <v>73926</v>
      </c>
      <c r="G64" s="10" t="n">
        <v>75926</v>
      </c>
      <c r="H64" s="11">
        <f>F64-G64</f>
        <v/>
      </c>
      <c r="I64" s="9" t="inlineStr">
        <is>
          <t>отримано</t>
        </is>
      </c>
      <c r="J64" t="inlineStr">
        <is>
          <t>2026-08</t>
        </is>
      </c>
      <c r="K64" s="12" t="inlineStr"/>
    </row>
    <row r="65">
      <c r="A65" s="8" t="n">
        <v>46239</v>
      </c>
      <c r="B65" s="9" t="n">
        <v>6130</v>
      </c>
      <c r="C65" s="9" t="inlineStr">
        <is>
          <t>-26 ГШ Фундамент домобудування Євро Простір Марія</t>
        </is>
      </c>
      <c r="D65" s="9" t="inlineStr">
        <is>
          <t>Заянчковський</t>
        </is>
      </c>
      <c r="E65" s="9" t="inlineStr">
        <is>
          <t>П'ятий платіж</t>
        </is>
      </c>
      <c r="F65" s="10" t="n">
        <v>73335</v>
      </c>
      <c r="G65" s="10" t="n">
        <v>73335</v>
      </c>
      <c r="H65" s="11">
        <f>F65-G65</f>
        <v/>
      </c>
      <c r="I65" s="9" t="inlineStr">
        <is>
          <t>отримано</t>
        </is>
      </c>
      <c r="J65" t="inlineStr">
        <is>
          <t>2026-08</t>
        </is>
      </c>
      <c r="K65" s="12" t="inlineStr"/>
    </row>
    <row r="66">
      <c r="A66" s="8" t="n">
        <v>46240</v>
      </c>
      <c r="B66" s="9" t="n">
        <v>5870</v>
      </c>
      <c r="C66" s="9" t="inlineStr">
        <is>
          <t>Carport Airport Munich</t>
        </is>
      </c>
      <c r="D66" s="9" t="inlineStr">
        <is>
          <t>Хома</t>
        </is>
      </c>
      <c r="E66" s="9" t="inlineStr">
        <is>
          <t>Другий платіж</t>
        </is>
      </c>
      <c r="F66" s="10" t="n">
        <v>4834112.5</v>
      </c>
      <c r="G66" s="10" t="n">
        <v>4834112.5</v>
      </c>
      <c r="H66" s="11">
        <f>F66-G66</f>
        <v/>
      </c>
      <c r="I66" s="9" t="inlineStr">
        <is>
          <t>отримано</t>
        </is>
      </c>
      <c r="J66" t="inlineStr">
        <is>
          <t>2026-08</t>
        </is>
      </c>
      <c r="K66" s="12" t="inlineStr">
        <is>
          <t>€95 725</t>
        </is>
      </c>
    </row>
    <row r="67">
      <c r="A67" s="8" t="n">
        <v>46241</v>
      </c>
      <c r="B67" s="9" t="n">
        <v>5870</v>
      </c>
      <c r="C67" s="9" t="inlineStr">
        <is>
          <t>Carport Airport Munich</t>
        </is>
      </c>
      <c r="D67" s="9" t="inlineStr">
        <is>
          <t>Хома</t>
        </is>
      </c>
      <c r="E67" s="9" t="inlineStr">
        <is>
          <t>Третій платіж</t>
        </is>
      </c>
      <c r="F67" s="10" t="n">
        <v>736037.5</v>
      </c>
      <c r="G67" s="10" t="n">
        <v>736037.5</v>
      </c>
      <c r="H67" s="11">
        <f>F67-G67</f>
        <v/>
      </c>
      <c r="I67" s="9" t="inlineStr">
        <is>
          <t>отримано</t>
        </is>
      </c>
      <c r="J67" t="inlineStr">
        <is>
          <t>2026-08</t>
        </is>
      </c>
      <c r="K67" s="12" t="inlineStr">
        <is>
          <t>€14 575</t>
        </is>
      </c>
    </row>
    <row r="68">
      <c r="A68" s="8" t="n">
        <v>46244</v>
      </c>
      <c r="B68" s="9" t="n">
        <v>6824</v>
      </c>
      <c r="C68" s="9" t="inlineStr">
        <is>
          <t>SOLAR Карпорти 2</t>
        </is>
      </c>
      <c r="D68" s="9" t="inlineStr">
        <is>
          <t>Хома</t>
        </is>
      </c>
      <c r="E68" s="9" t="inlineStr">
        <is>
          <t>Авансовий платіж</t>
        </is>
      </c>
      <c r="F68" s="10" t="n">
        <v>149710</v>
      </c>
      <c r="G68" s="10" t="n">
        <v>149710</v>
      </c>
      <c r="H68" s="11">
        <f>F68-G68</f>
        <v/>
      </c>
      <c r="I68" s="9" t="inlineStr">
        <is>
          <t>отримано</t>
        </is>
      </c>
      <c r="J68" t="inlineStr">
        <is>
          <t>2026-08</t>
        </is>
      </c>
      <c r="K68" s="12" t="inlineStr"/>
    </row>
    <row r="69">
      <c r="A69" s="8" t="n">
        <v>46253</v>
      </c>
      <c r="B69" s="9" t="n">
        <v>5904</v>
      </c>
      <c r="C69" s="9" t="inlineStr">
        <is>
          <t>SOLAR Карпорти шт. 10 шт. 0.03 Мвт SIA Realcom</t>
        </is>
      </c>
      <c r="D69" s="9" t="inlineStr">
        <is>
          <t>Хома</t>
        </is>
      </c>
      <c r="E69" s="9" t="inlineStr">
        <is>
          <t>Авансовий платіж</t>
        </is>
      </c>
      <c r="F69" s="10" t="n">
        <v>546157.5</v>
      </c>
      <c r="G69" s="10" t="n">
        <v>546157.5</v>
      </c>
      <c r="H69" s="11">
        <f>F69-G69</f>
        <v/>
      </c>
      <c r="I69" s="9" t="inlineStr">
        <is>
          <t>отримано</t>
        </is>
      </c>
      <c r="J69" t="inlineStr">
        <is>
          <t>2026-08</t>
        </is>
      </c>
      <c r="K69" s="12" t="inlineStr">
        <is>
          <t>€10 815</t>
        </is>
      </c>
    </row>
    <row r="70">
      <c r="A70" s="8" t="n">
        <v>46254</v>
      </c>
      <c r="B70" s="9" t="n">
        <v>5870</v>
      </c>
      <c r="C70" s="9" t="inlineStr">
        <is>
          <t>Carport Airport Munich</t>
        </is>
      </c>
      <c r="D70" s="9" t="inlineStr">
        <is>
          <t>Хома</t>
        </is>
      </c>
      <c r="E70" s="9" t="inlineStr">
        <is>
          <t>Четвертий платіж</t>
        </is>
      </c>
      <c r="F70" s="10" t="n">
        <v>883750</v>
      </c>
      <c r="G70" s="10" t="n">
        <v>883750</v>
      </c>
      <c r="H70" s="11">
        <f>F70-G70</f>
        <v/>
      </c>
      <c r="I70" s="9" t="inlineStr">
        <is>
          <t>отримано</t>
        </is>
      </c>
      <c r="J70" t="inlineStr">
        <is>
          <t>2026-08</t>
        </is>
      </c>
      <c r="K70" s="12" t="inlineStr">
        <is>
          <t>€17 500</t>
        </is>
      </c>
    </row>
    <row r="71">
      <c r="A71" s="8" t="n">
        <v>46254</v>
      </c>
      <c r="B71" s="9" t="n">
        <v>7414</v>
      </c>
      <c r="C71" s="9" t="inlineStr">
        <is>
          <t>-26 ГШ Фундамент домобудування Володимир</t>
        </is>
      </c>
      <c r="D71" s="9" t="inlineStr">
        <is>
          <t>Заянчковський</t>
        </is>
      </c>
      <c r="E71" s="9" t="inlineStr">
        <is>
          <t>Авансовий платіж</t>
        </is>
      </c>
      <c r="F71" s="10" t="n">
        <v>94000</v>
      </c>
      <c r="G71" s="10" t="n">
        <v>94000</v>
      </c>
      <c r="H71" s="11">
        <f>F71-G71</f>
        <v/>
      </c>
      <c r="I71" s="9" t="inlineStr">
        <is>
          <t>отримано</t>
        </is>
      </c>
      <c r="J71" t="inlineStr">
        <is>
          <t>2026-08</t>
        </is>
      </c>
      <c r="K71" s="12" t="inlineStr"/>
    </row>
    <row r="72">
      <c r="A72" s="8" t="n">
        <v>46255</v>
      </c>
      <c r="B72" s="9" t="n">
        <v>7894</v>
      </c>
      <c r="C72" s="9" t="inlineStr">
        <is>
          <t>SCP Фора  Хотів</t>
        </is>
      </c>
      <c r="D72" s="9" t="inlineStr">
        <is>
          <t>Донська</t>
        </is>
      </c>
      <c r="E72" s="9" t="inlineStr">
        <is>
          <t>Другий платіж</t>
        </is>
      </c>
      <c r="F72" s="10" t="n">
        <v>185968</v>
      </c>
      <c r="G72" s="10" t="n">
        <v>185968</v>
      </c>
      <c r="H72" s="11">
        <f>F72-G72</f>
        <v/>
      </c>
      <c r="I72" s="9" t="inlineStr">
        <is>
          <t>отримано</t>
        </is>
      </c>
      <c r="J72" t="inlineStr">
        <is>
          <t>2026-08</t>
        </is>
      </c>
      <c r="K72" s="12" t="inlineStr"/>
    </row>
    <row r="73">
      <c r="A73" s="8" t="n">
        <v>46255</v>
      </c>
      <c r="B73" s="9" t="n">
        <v>7894</v>
      </c>
      <c r="C73" s="9" t="inlineStr">
        <is>
          <t>SCP Фора  Хотів</t>
        </is>
      </c>
      <c r="D73" s="9" t="inlineStr">
        <is>
          <t>Донська</t>
        </is>
      </c>
      <c r="E73" s="9" t="inlineStr">
        <is>
          <t>Третій платіж</t>
        </is>
      </c>
      <c r="F73" s="10" t="n">
        <v>185967.99</v>
      </c>
      <c r="G73" s="10" t="n">
        <v>185967.99</v>
      </c>
      <c r="H73" s="11">
        <f>F73-G73</f>
        <v/>
      </c>
      <c r="I73" s="9" t="inlineStr">
        <is>
          <t>отримано</t>
        </is>
      </c>
      <c r="J73" t="inlineStr">
        <is>
          <t>2026-08</t>
        </is>
      </c>
      <c r="K73" s="12" t="inlineStr"/>
    </row>
    <row r="74">
      <c r="A74" s="8" t="n">
        <v>46255</v>
      </c>
      <c r="B74" s="9" t="n">
        <v>7894</v>
      </c>
      <c r="C74" s="9" t="inlineStr">
        <is>
          <t>SCP Фора  Хотів</t>
        </is>
      </c>
      <c r="D74" s="9" t="inlineStr">
        <is>
          <t>Донська</t>
        </is>
      </c>
      <c r="E74" s="9" t="inlineStr">
        <is>
          <t>Четвертий платіж</t>
        </is>
      </c>
      <c r="F74" s="10" t="n">
        <v>737597.4</v>
      </c>
      <c r="G74" s="10" t="n">
        <v>737597.4</v>
      </c>
      <c r="H74" s="11">
        <f>F74-G74</f>
        <v/>
      </c>
      <c r="I74" s="9" t="inlineStr">
        <is>
          <t>отримано</t>
        </is>
      </c>
      <c r="J74" t="inlineStr">
        <is>
          <t>2026-08</t>
        </is>
      </c>
      <c r="K74" s="12" t="inlineStr"/>
    </row>
    <row r="75">
      <c r="A75" s="8" t="n">
        <v>46255</v>
      </c>
      <c r="B75" s="9" t="n">
        <v>8898</v>
      </c>
      <c r="C75" s="9" t="inlineStr">
        <is>
          <t>Григорівка №3</t>
        </is>
      </c>
      <c r="D75" s="9" t="inlineStr">
        <is>
          <t>Донська</t>
        </is>
      </c>
      <c r="E75" s="9" t="inlineStr">
        <is>
          <t>Другий платіж</t>
        </is>
      </c>
      <c r="F75" s="10" t="n">
        <v>188043.75</v>
      </c>
      <c r="G75" s="10" t="n">
        <v>188043.75</v>
      </c>
      <c r="H75" s="11">
        <f>F75-G75</f>
        <v/>
      </c>
      <c r="I75" s="9" t="inlineStr">
        <is>
          <t>отримано</t>
        </is>
      </c>
      <c r="J75" t="inlineStr">
        <is>
          <t>2026-08</t>
        </is>
      </c>
      <c r="K75" s="12" t="inlineStr"/>
    </row>
    <row r="76">
      <c r="A76" s="8" t="n">
        <v>46260</v>
      </c>
      <c r="B76" s="9" t="n">
        <v>6406</v>
      </c>
      <c r="C76" s="9" t="inlineStr">
        <is>
          <t>Максим Яловий Чинадієво</t>
        </is>
      </c>
      <c r="D76" s="9" t="inlineStr">
        <is>
          <t>Іщук</t>
        </is>
      </c>
      <c r="E76" s="9" t="inlineStr">
        <is>
          <t>Другий платіж</t>
        </is>
      </c>
      <c r="F76" s="10" t="n">
        <v>218602</v>
      </c>
      <c r="G76" s="10" t="n">
        <v>170788</v>
      </c>
      <c r="H76" s="11">
        <f>F76-G76</f>
        <v/>
      </c>
      <c r="I76" s="9" t="inlineStr">
        <is>
          <t>прострочено</t>
        </is>
      </c>
      <c r="J76" t="inlineStr">
        <is>
          <t>2026-08</t>
        </is>
      </c>
      <c r="K76" s="12" t="inlineStr"/>
    </row>
    <row r="77">
      <c r="A77" s="8" t="n">
        <v>46265</v>
      </c>
      <c r="B77" s="9" t="n">
        <v>8878</v>
      </c>
      <c r="C77" s="9" t="inlineStr">
        <is>
          <t>А ТОВ КОМПАНІЯ ВОЛЬТ СЕРВІС ГРУП</t>
        </is>
      </c>
      <c r="D77" s="9" t="inlineStr">
        <is>
          <t>Заянчковський</t>
        </is>
      </c>
      <c r="E77" s="9" t="inlineStr">
        <is>
          <t>П'ятий платіж</t>
        </is>
      </c>
      <c r="F77" s="10" t="n">
        <v>12823</v>
      </c>
      <c r="G77" s="10" t="n">
        <v>12823</v>
      </c>
      <c r="H77" s="11">
        <f>F77-G77</f>
        <v/>
      </c>
      <c r="I77" s="9" t="inlineStr">
        <is>
          <t>отримано</t>
        </is>
      </c>
      <c r="J77" t="inlineStr">
        <is>
          <t>2026-08</t>
        </is>
      </c>
      <c r="K77" s="12" t="inlineStr"/>
    </row>
    <row r="78">
      <c r="A78" s="8" t="n">
        <v>46268</v>
      </c>
      <c r="B78" s="9" t="n">
        <v>6356</v>
      </c>
      <c r="C78" s="9" t="inlineStr">
        <is>
          <t>-26 SOLAR Наземні СЕС 3 Kirill Trokhin</t>
        </is>
      </c>
      <c r="D78" s="9" t="inlineStr">
        <is>
          <t>Хома</t>
        </is>
      </c>
      <c r="E78" s="9" t="inlineStr">
        <is>
          <t>Авансовий платіж</t>
        </is>
      </c>
      <c r="F78" s="10" t="n">
        <v>2750028</v>
      </c>
      <c r="G78" s="10" t="n">
        <v>2750028</v>
      </c>
      <c r="H78" s="11">
        <f>F78-G78</f>
        <v/>
      </c>
      <c r="I78" s="9" t="inlineStr">
        <is>
          <t>отримано</t>
        </is>
      </c>
      <c r="J78" t="inlineStr">
        <is>
          <t>2026-09</t>
        </is>
      </c>
      <c r="K78" s="12" t="inlineStr">
        <is>
          <t>€54 456</t>
        </is>
      </c>
    </row>
    <row r="79">
      <c r="A79" s="8" t="n">
        <v>46268</v>
      </c>
      <c r="B79" s="9" t="n">
        <v>7414</v>
      </c>
      <c r="C79" s="9" t="inlineStr">
        <is>
          <t>-26 ГШ Фундамент домобудування Володимир</t>
        </is>
      </c>
      <c r="D79" s="9" t="inlineStr">
        <is>
          <t>Заянчковський</t>
        </is>
      </c>
      <c r="E79" s="9" t="inlineStr">
        <is>
          <t>Другий платіж</t>
        </is>
      </c>
      <c r="F79" s="10" t="n">
        <v>13349.1</v>
      </c>
      <c r="G79" s="10" t="n">
        <v>13349.1</v>
      </c>
      <c r="H79" s="11">
        <f>F79-G79</f>
        <v/>
      </c>
      <c r="I79" s="9" t="inlineStr">
        <is>
          <t>отримано</t>
        </is>
      </c>
      <c r="J79" t="inlineStr">
        <is>
          <t>2026-09</t>
        </is>
      </c>
      <c r="K79" s="12" t="inlineStr"/>
    </row>
    <row r="80">
      <c r="A80" s="8" t="n">
        <v>46272</v>
      </c>
      <c r="B80" s="9" t="n">
        <v>8497</v>
      </c>
      <c r="C80" s="9" t="inlineStr">
        <is>
          <t>LSG 110MWt   50 points</t>
        </is>
      </c>
      <c r="D80" s="9" t="inlineStr">
        <is>
          <t>Іщук</t>
        </is>
      </c>
      <c r="E80" s="9" t="inlineStr">
        <is>
          <t>Авансовий платіж</t>
        </is>
      </c>
      <c r="F80" s="10" t="n">
        <v>1526362.5</v>
      </c>
      <c r="G80" s="10" t="n">
        <v>1526362.5</v>
      </c>
      <c r="H80" s="11">
        <f>F80-G80</f>
        <v/>
      </c>
      <c r="I80" s="9" t="inlineStr">
        <is>
          <t>отримано</t>
        </is>
      </c>
      <c r="J80" t="inlineStr">
        <is>
          <t>2026-09</t>
        </is>
      </c>
      <c r="K80" s="12" t="inlineStr">
        <is>
          <t>€30 225</t>
        </is>
      </c>
    </row>
    <row r="81">
      <c r="A81" s="8" t="n">
        <v>46275</v>
      </c>
      <c r="B81" s="9" t="n">
        <v>8304</v>
      </c>
      <c r="C81" s="9" t="inlineStr">
        <is>
          <t>-26 ГШ Фундамент домобудування Валерій Гибаленко</t>
        </is>
      </c>
      <c r="D81" s="9" t="inlineStr">
        <is>
          <t>Донська</t>
        </is>
      </c>
      <c r="E81" s="9" t="inlineStr">
        <is>
          <t>Авансовий платіж</t>
        </is>
      </c>
      <c r="F81" s="10" t="n">
        <v>117310</v>
      </c>
      <c r="G81" s="10" t="n">
        <v>117310</v>
      </c>
      <c r="H81" s="11">
        <f>F81-G81</f>
        <v/>
      </c>
      <c r="I81" s="9" t="inlineStr">
        <is>
          <t>отримано</t>
        </is>
      </c>
      <c r="J81" t="inlineStr">
        <is>
          <t>2026-09</t>
        </is>
      </c>
      <c r="K81" s="12" t="inlineStr"/>
    </row>
    <row r="82">
      <c r="A82" s="8" t="n">
        <v>46275</v>
      </c>
      <c r="B82" s="9" t="n">
        <v>8304</v>
      </c>
      <c r="C82" s="9" t="inlineStr">
        <is>
          <t>-26 ГШ Фундамент домобудування Валерій Гибаленко</t>
        </is>
      </c>
      <c r="D82" s="9" t="inlineStr">
        <is>
          <t>Донська</t>
        </is>
      </c>
      <c r="E82" s="9" t="inlineStr">
        <is>
          <t>Другий платіж</t>
        </is>
      </c>
      <c r="F82" s="10" t="n">
        <v>55245</v>
      </c>
      <c r="G82" s="10" t="n">
        <v>55245</v>
      </c>
      <c r="H82" s="11">
        <f>F82-G82</f>
        <v/>
      </c>
      <c r="I82" s="9" t="inlineStr">
        <is>
          <t>отримано</t>
        </is>
      </c>
      <c r="J82" t="inlineStr">
        <is>
          <t>2026-09</t>
        </is>
      </c>
      <c r="K82" s="12" t="inlineStr"/>
    </row>
    <row r="83">
      <c r="A83" s="8" t="n">
        <v>46275</v>
      </c>
      <c r="B83" s="9" t="n">
        <v>8304</v>
      </c>
      <c r="C83" s="9" t="inlineStr">
        <is>
          <t>-26 ГШ Фундамент домобудування Валерій Гибаленко</t>
        </is>
      </c>
      <c r="D83" s="9" t="inlineStr">
        <is>
          <t>Донська</t>
        </is>
      </c>
      <c r="E83" s="9" t="inlineStr">
        <is>
          <t>Третій платіж</t>
        </is>
      </c>
      <c r="F83" s="10" t="n">
        <v>55245</v>
      </c>
      <c r="G83" s="10" t="n">
        <v>55245</v>
      </c>
      <c r="H83" s="11">
        <f>F83-G83</f>
        <v/>
      </c>
      <c r="I83" s="9" t="inlineStr">
        <is>
          <t>отримано</t>
        </is>
      </c>
      <c r="J83" t="inlineStr">
        <is>
          <t>2026-09</t>
        </is>
      </c>
      <c r="K83" s="12" t="inlineStr"/>
    </row>
    <row r="84">
      <c r="A84" s="8" t="n">
        <v>46287</v>
      </c>
      <c r="B84" s="9" t="n">
        <v>8898</v>
      </c>
      <c r="C84" s="9" t="inlineStr">
        <is>
          <t>Григорівка №3</t>
        </is>
      </c>
      <c r="D84" s="9" t="inlineStr">
        <is>
          <t>Донська</t>
        </is>
      </c>
      <c r="E84" s="9" t="inlineStr">
        <is>
          <t>Третій платіж</t>
        </is>
      </c>
      <c r="F84" s="10" t="n">
        <v>188043.75</v>
      </c>
      <c r="G84" s="10" t="n">
        <v>188043.75</v>
      </c>
      <c r="H84" s="11">
        <f>F84-G84</f>
        <v/>
      </c>
      <c r="I84" s="9" t="inlineStr">
        <is>
          <t>отримано</t>
        </is>
      </c>
      <c r="J84" t="inlineStr">
        <is>
          <t>2026-09</t>
        </is>
      </c>
      <c r="K84" s="12" t="inlineStr"/>
    </row>
    <row r="85">
      <c r="A85" s="8" t="n">
        <v>46288</v>
      </c>
      <c r="B85" s="9" t="n">
        <v>7002</v>
      </c>
      <c r="C85" s="9" t="inlineStr">
        <is>
          <t>Фора SCP Млиново</t>
        </is>
      </c>
      <c r="D85" s="9" t="inlineStr">
        <is>
          <t>Донська</t>
        </is>
      </c>
      <c r="E85" s="9" t="inlineStr">
        <is>
          <t>П'ятий платіж</t>
        </is>
      </c>
      <c r="F85" s="10" t="n">
        <v>492945</v>
      </c>
      <c r="G85" s="10" t="n">
        <v>492945</v>
      </c>
      <c r="H85" s="11">
        <f>F85-G85</f>
        <v/>
      </c>
      <c r="I85" s="9" t="inlineStr">
        <is>
          <t>отримано</t>
        </is>
      </c>
      <c r="J85" t="inlineStr">
        <is>
          <t>2026-09</t>
        </is>
      </c>
      <c r="K85" s="12" t="inlineStr"/>
    </row>
    <row r="86">
      <c r="A86" s="8" t="n">
        <v>46288</v>
      </c>
      <c r="B86" s="9" t="n">
        <v>7002</v>
      </c>
      <c r="C86" s="9" t="inlineStr">
        <is>
          <t>Фора SCP Млиново</t>
        </is>
      </c>
      <c r="D86" s="9" t="inlineStr">
        <is>
          <t>Донська</t>
        </is>
      </c>
      <c r="E86" s="9" t="inlineStr">
        <is>
          <t>Шостий платіж (Допка)</t>
        </is>
      </c>
      <c r="F86" s="10" t="n">
        <v>338000</v>
      </c>
      <c r="G86" s="10" t="n">
        <v>338000</v>
      </c>
      <c r="H86" s="11">
        <f>F86-G86</f>
        <v/>
      </c>
      <c r="I86" s="9" t="inlineStr">
        <is>
          <t>отримано</t>
        </is>
      </c>
      <c r="J86" t="inlineStr">
        <is>
          <t>2026-09</t>
        </is>
      </c>
      <c r="K86" s="12" t="inlineStr"/>
    </row>
    <row r="87">
      <c r="A87" s="8" t="n">
        <v>46290</v>
      </c>
      <c r="B87" s="9" t="n">
        <v>8238</v>
      </c>
      <c r="C87" s="9" t="inlineStr">
        <is>
          <t>А UTEM SOLAR  SCP Taurus 190PV</t>
        </is>
      </c>
      <c r="D87" s="9" t="inlineStr">
        <is>
          <t>Іщук</t>
        </is>
      </c>
      <c r="E87" s="9" t="inlineStr">
        <is>
          <t>Третій платіж</t>
        </is>
      </c>
      <c r="F87" s="10" t="n">
        <v>578694</v>
      </c>
      <c r="G87" s="10" t="n">
        <v>578694</v>
      </c>
      <c r="H87" s="11">
        <f>F87-G87</f>
        <v/>
      </c>
      <c r="I87" s="9" t="inlineStr">
        <is>
          <t>отримано</t>
        </is>
      </c>
      <c r="J87" t="inlineStr">
        <is>
          <t>2026-09</t>
        </is>
      </c>
      <c r="K87" s="12" t="inlineStr">
        <is>
          <t>$12 900</t>
        </is>
      </c>
    </row>
    <row r="88">
      <c r="A88" s="8" t="n">
        <v>46295</v>
      </c>
      <c r="B88" s="9" t="n">
        <v>7904</v>
      </c>
      <c r="C88" s="9" t="inlineStr">
        <is>
          <t>А СОЛАРС РЕ ЕНЕРДЖІ ГРУП</t>
        </is>
      </c>
      <c r="D88" s="9" t="inlineStr">
        <is>
          <t>Іщук</t>
        </is>
      </c>
      <c r="E88" s="9" t="inlineStr">
        <is>
          <t>Авансовий платіж</t>
        </is>
      </c>
      <c r="F88" s="10" t="n">
        <v>691660.98</v>
      </c>
      <c r="G88" s="10" t="n">
        <v>691660.98</v>
      </c>
      <c r="H88" s="11">
        <f>F88-G88</f>
        <v/>
      </c>
      <c r="I88" s="9" t="inlineStr">
        <is>
          <t>отримано</t>
        </is>
      </c>
      <c r="J88" t="inlineStr">
        <is>
          <t>2026-09</t>
        </is>
      </c>
      <c r="K88" s="12" t="inlineStr"/>
    </row>
    <row r="89">
      <c r="A89" s="8" t="n">
        <v>46296</v>
      </c>
      <c r="B89" s="9" t="n">
        <v>7414</v>
      </c>
      <c r="C89" s="9" t="inlineStr">
        <is>
          <t>-26 ГШ Фундамент домобудування Володимир</t>
        </is>
      </c>
      <c r="D89" s="9" t="inlineStr">
        <is>
          <t>Заянчковський</t>
        </is>
      </c>
      <c r="E89" s="9" t="inlineStr">
        <is>
          <t>Третій платіж</t>
        </is>
      </c>
      <c r="F89" s="10" t="n">
        <v>50823</v>
      </c>
      <c r="G89" s="10" t="n">
        <v>50823.44</v>
      </c>
      <c r="H89" s="11">
        <f>F89-G89</f>
        <v/>
      </c>
      <c r="I89" s="9" t="inlineStr">
        <is>
          <t>отримано</t>
        </is>
      </c>
      <c r="J89" t="inlineStr">
        <is>
          <t>2026-10</t>
        </is>
      </c>
      <c r="K89" s="12" t="inlineStr"/>
    </row>
    <row r="90">
      <c r="A90" s="8" t="n">
        <v>46297</v>
      </c>
      <c r="B90" s="9" t="n">
        <v>9562</v>
      </c>
      <c r="C90" s="9" t="inlineStr">
        <is>
          <t>26  SOLAR Наземні СЕС Київ  шт. 0 шт. 0.77 Мвт SolarWind</t>
        </is>
      </c>
      <c r="D90" s="9" t="inlineStr">
        <is>
          <t>Іщук</t>
        </is>
      </c>
      <c r="E90" s="9" t="inlineStr">
        <is>
          <t>Авансовий платіж</t>
        </is>
      </c>
      <c r="F90" s="10" t="n">
        <v>397353.6</v>
      </c>
      <c r="G90" s="10" t="n">
        <v>397353.6</v>
      </c>
      <c r="H90" s="11">
        <f>F90-G90</f>
        <v/>
      </c>
      <c r="I90" s="9" t="inlineStr">
        <is>
          <t>отримано</t>
        </is>
      </c>
      <c r="J90" t="inlineStr">
        <is>
          <t>2026-10</t>
        </is>
      </c>
      <c r="K90" s="12" t="inlineStr"/>
    </row>
    <row r="91">
      <c r="A91" s="8" t="n">
        <v>46305</v>
      </c>
      <c r="B91" s="9" t="n">
        <v>6024</v>
      </c>
      <c r="C91" s="9" t="inlineStr">
        <is>
          <t>-26 ГШ с. Липовиця Черніг. обл. Модулекс</t>
        </is>
      </c>
      <c r="D91" s="9" t="inlineStr">
        <is>
          <t>Заянчковський</t>
        </is>
      </c>
      <c r="E91" s="9" t="inlineStr">
        <is>
          <t>Другий платіж</t>
        </is>
      </c>
      <c r="F91" s="10" t="n">
        <v>246402</v>
      </c>
      <c r="G91" s="10" t="n">
        <v>246402</v>
      </c>
      <c r="H91" s="11">
        <f>F91-G91</f>
        <v/>
      </c>
      <c r="I91" s="9" t="inlineStr">
        <is>
          <t>отримано</t>
        </is>
      </c>
      <c r="J91" t="inlineStr">
        <is>
          <t>2026-10</t>
        </is>
      </c>
      <c r="K91" s="12" t="inlineStr"/>
    </row>
    <row r="92">
      <c r="A92" s="8" t="n">
        <v>46307</v>
      </c>
      <c r="B92" s="9" t="n">
        <v>8716</v>
      </c>
      <c r="C92" s="9" t="inlineStr">
        <is>
          <t>SOLAR Наземні СЕС Київ ТОВ ССДЖЕЙ УКРАЇНА</t>
        </is>
      </c>
      <c r="D92" s="9" t="inlineStr">
        <is>
          <t>Іщук</t>
        </is>
      </c>
      <c r="E92" s="9" t="inlineStr">
        <is>
          <t>Авансовий платіж</t>
        </is>
      </c>
      <c r="F92" s="10" t="n">
        <v>1580000</v>
      </c>
      <c r="G92" s="10" t="n">
        <v>1580000</v>
      </c>
      <c r="H92" s="11">
        <f>F92-G92</f>
        <v/>
      </c>
      <c r="I92" s="9" t="inlineStr">
        <is>
          <t>отримано</t>
        </is>
      </c>
      <c r="J92" t="inlineStr">
        <is>
          <t>2026-10</t>
        </is>
      </c>
      <c r="K92" s="12" t="inlineStr"/>
    </row>
    <row r="93">
      <c r="A93" s="8" t="n">
        <v>46311</v>
      </c>
      <c r="B93" s="9" t="n">
        <v>7414</v>
      </c>
      <c r="C93" s="9" t="inlineStr">
        <is>
          <t>-26 ГШ Фундамент домобудування Володимир</t>
        </is>
      </c>
      <c r="D93" s="9" t="inlineStr">
        <is>
          <t>Заянчковський</t>
        </is>
      </c>
      <c r="E93" s="9" t="inlineStr">
        <is>
          <t>Четвертий платіж</t>
        </is>
      </c>
      <c r="F93" s="10" t="n">
        <v>50823.44</v>
      </c>
      <c r="G93" s="10" t="n">
        <v>50823.44</v>
      </c>
      <c r="H93" s="11">
        <f>F93-G93</f>
        <v/>
      </c>
      <c r="I93" s="9" t="inlineStr">
        <is>
          <t>отримано</t>
        </is>
      </c>
      <c r="J93" t="inlineStr">
        <is>
          <t>2026-10</t>
        </is>
      </c>
      <c r="K93" s="12" t="inlineStr"/>
    </row>
    <row r="94">
      <c r="A94" s="8" t="n">
        <v>46315</v>
      </c>
      <c r="B94" s="9" t="n">
        <v>6024</v>
      </c>
      <c r="C94" s="9" t="inlineStr">
        <is>
          <t>-26 ГШ с. Липовиця Черніг. обл. Модулекс</t>
        </is>
      </c>
      <c r="D94" s="9" t="inlineStr">
        <is>
          <t>Заянчковський</t>
        </is>
      </c>
      <c r="E94" s="9" t="inlineStr">
        <is>
          <t>Третій платіж</t>
        </is>
      </c>
      <c r="F94" s="10" t="n">
        <v>3999</v>
      </c>
      <c r="G94" s="10" t="n">
        <v>3999</v>
      </c>
      <c r="H94" s="11">
        <f>F94-G94</f>
        <v/>
      </c>
      <c r="I94" s="9" t="inlineStr">
        <is>
          <t>отримано</t>
        </is>
      </c>
      <c r="J94" t="inlineStr">
        <is>
          <t>2026-10</t>
        </is>
      </c>
      <c r="K94" s="12" t="inlineStr"/>
    </row>
    <row r="95">
      <c r="A95" s="8" t="n">
        <v>46316</v>
      </c>
      <c r="B95" s="9" t="n">
        <v>6352</v>
      </c>
      <c r="C95" s="9" t="inlineStr">
        <is>
          <t>АБМК SCP Blade 8PS</t>
        </is>
      </c>
      <c r="D95" s="9" t="inlineStr">
        <is>
          <t>Донська</t>
        </is>
      </c>
      <c r="E95" s="9" t="inlineStr">
        <is>
          <t>Третій платіж</t>
        </is>
      </c>
      <c r="F95" s="10" t="n">
        <v>1119237.26</v>
      </c>
      <c r="G95" s="10" t="n">
        <v>1119237.26</v>
      </c>
      <c r="H95" s="11">
        <f>F95-G95</f>
        <v/>
      </c>
      <c r="I95" s="9" t="inlineStr">
        <is>
          <t>отримано</t>
        </is>
      </c>
      <c r="J95" t="inlineStr">
        <is>
          <t>2026-10</t>
        </is>
      </c>
      <c r="K95" s="12" t="inlineStr"/>
    </row>
    <row r="96">
      <c r="A96" s="8" t="n">
        <v>46316</v>
      </c>
      <c r="B96" s="9" t="n">
        <v>6352</v>
      </c>
      <c r="C96" s="9" t="inlineStr">
        <is>
          <t>АБМК SCP Blade 8PS</t>
        </is>
      </c>
      <c r="D96" s="9" t="inlineStr">
        <is>
          <t>Донська</t>
        </is>
      </c>
      <c r="E96" s="9" t="inlineStr">
        <is>
          <t>Четвертий платіж</t>
        </is>
      </c>
      <c r="F96" s="10" t="n">
        <v>371982.96</v>
      </c>
      <c r="G96" s="10" t="n">
        <v>371982.96</v>
      </c>
      <c r="H96" s="11">
        <f>F96-G96</f>
        <v/>
      </c>
      <c r="I96" s="9" t="inlineStr">
        <is>
          <t>отримано</t>
        </is>
      </c>
      <c r="J96" t="inlineStr">
        <is>
          <t>2026-10</t>
        </is>
      </c>
      <c r="K96" s="12" t="inlineStr"/>
    </row>
    <row r="97">
      <c r="A97" s="8" t="n">
        <v>46316</v>
      </c>
      <c r="B97" s="9" t="n">
        <v>6356</v>
      </c>
      <c r="C97" s="9" t="inlineStr">
        <is>
          <t>-26 SOLAR Наземні СЕС 3 Kirill Trokhin</t>
        </is>
      </c>
      <c r="D97" s="9" t="inlineStr">
        <is>
          <t>Хома</t>
        </is>
      </c>
      <c r="E97" s="9" t="inlineStr">
        <is>
          <t>Другий платіж</t>
        </is>
      </c>
      <c r="F97" s="10" t="n">
        <v>3244120</v>
      </c>
      <c r="G97" s="10" t="n">
        <v>3244120</v>
      </c>
      <c r="H97" s="11">
        <f>F97-G97</f>
        <v/>
      </c>
      <c r="I97" s="9" t="inlineStr">
        <is>
          <t>отримано</t>
        </is>
      </c>
      <c r="J97" t="inlineStr">
        <is>
          <t>2026-10</t>
        </is>
      </c>
      <c r="K97" s="12" t="inlineStr">
        <is>
          <t>€64 240</t>
        </is>
      </c>
    </row>
    <row r="98">
      <c r="A98" s="8" t="n">
        <v>46322</v>
      </c>
      <c r="B98" s="9" t="n">
        <v>6356</v>
      </c>
      <c r="C98" s="9" t="inlineStr">
        <is>
          <t>-26 SOLAR Наземні СЕС 3 Kirill Trokhin</t>
        </is>
      </c>
      <c r="D98" s="9" t="inlineStr">
        <is>
          <t>Хома</t>
        </is>
      </c>
      <c r="E98" s="9" t="inlineStr">
        <is>
          <t>Третій платіж</t>
        </is>
      </c>
      <c r="F98" s="10" t="n">
        <v>648824</v>
      </c>
      <c r="G98" s="10" t="n">
        <v>648824</v>
      </c>
      <c r="H98" s="11">
        <f>F98-G98</f>
        <v/>
      </c>
      <c r="I98" s="9" t="inlineStr">
        <is>
          <t>отримано</t>
        </is>
      </c>
      <c r="J98" t="inlineStr">
        <is>
          <t>2026-10</t>
        </is>
      </c>
      <c r="K98" s="12" t="inlineStr">
        <is>
          <t>€12 848</t>
        </is>
      </c>
    </row>
    <row r="99">
      <c r="A99" s="8" t="n">
        <v>46325</v>
      </c>
      <c r="B99" s="9" t="n">
        <v>4766</v>
      </c>
      <c r="C99" s="9" t="inlineStr">
        <is>
          <t>ALTECO Carport Model Taurus 280кВт</t>
        </is>
      </c>
      <c r="D99" s="9" t="inlineStr">
        <is>
          <t>Заянчковський</t>
        </is>
      </c>
      <c r="E99" s="9" t="inlineStr">
        <is>
          <t>П'ятий платіж</t>
        </is>
      </c>
      <c r="F99" s="10" t="n">
        <v>1263447.42</v>
      </c>
      <c r="G99" s="10" t="n">
        <v>1050000</v>
      </c>
      <c r="H99" s="11">
        <f>F99-G99</f>
        <v/>
      </c>
      <c r="I99" s="9" t="inlineStr">
        <is>
          <t>прострочено</t>
        </is>
      </c>
      <c r="J99" t="inlineStr">
        <is>
          <t>2026-10</t>
        </is>
      </c>
      <c r="K99" s="12" t="inlineStr"/>
    </row>
    <row r="100">
      <c r="A100" s="8" t="n">
        <v>46325</v>
      </c>
      <c r="B100" s="9" t="n">
        <v>5910</v>
      </c>
      <c r="C100" s="9" t="inlineStr">
        <is>
          <t>SGM Brdovec, Хорватия</t>
        </is>
      </c>
      <c r="D100" s="9" t="inlineStr">
        <is>
          <t>Донська</t>
        </is>
      </c>
      <c r="E100" s="9" t="inlineStr">
        <is>
          <t>Другий платіж 60%</t>
        </is>
      </c>
      <c r="F100" s="10" t="n">
        <v>16876140.5</v>
      </c>
      <c r="G100" s="10" t="n">
        <v>15646465.5</v>
      </c>
      <c r="H100" s="11">
        <f>F100-G100</f>
        <v/>
      </c>
      <c r="I100" s="9" t="inlineStr">
        <is>
          <t>прострочено</t>
        </is>
      </c>
      <c r="J100" t="inlineStr">
        <is>
          <t>2026-10</t>
        </is>
      </c>
      <c r="K100" s="12" t="inlineStr">
        <is>
          <t>€334 181</t>
        </is>
      </c>
    </row>
    <row r="101">
      <c r="A101" s="8" t="n">
        <v>46325</v>
      </c>
      <c r="B101" s="9" t="n">
        <v>5910</v>
      </c>
      <c r="C101" s="9" t="inlineStr">
        <is>
          <t>SGM Brdovec, Хорватия</t>
        </is>
      </c>
      <c r="D101" s="9" t="inlineStr">
        <is>
          <t>Донська</t>
        </is>
      </c>
      <c r="E101" s="9" t="inlineStr">
        <is>
          <t>Третій платіж</t>
        </is>
      </c>
      <c r="F101" s="10" t="n">
        <v>2812547</v>
      </c>
      <c r="G101" s="10" t="n">
        <v>1341330.5</v>
      </c>
      <c r="H101" s="11">
        <f>F101-G101</f>
        <v/>
      </c>
      <c r="I101" s="9" t="inlineStr">
        <is>
          <t>прострочено</t>
        </is>
      </c>
      <c r="J101" t="inlineStr">
        <is>
          <t>2026-10</t>
        </is>
      </c>
      <c r="K101" s="12" t="inlineStr">
        <is>
          <t>€55 694</t>
        </is>
      </c>
    </row>
    <row r="102">
      <c r="A102" s="8" t="n">
        <v>46325</v>
      </c>
      <c r="B102" s="9" t="n">
        <v>7244</v>
      </c>
      <c r="C102" s="9" t="inlineStr">
        <is>
          <t>В Модулекс модульна будівля Чернігів</t>
        </is>
      </c>
      <c r="D102" s="9" t="inlineStr">
        <is>
          <t>Заянчковський</t>
        </is>
      </c>
      <c r="E102" s="9" t="inlineStr">
        <is>
          <t>П'ятий платіж</t>
        </is>
      </c>
      <c r="F102" s="10" t="n">
        <v>132708.6</v>
      </c>
      <c r="G102" s="10" t="n">
        <v>0</v>
      </c>
      <c r="H102" s="11">
        <f>F102-G102</f>
        <v/>
      </c>
      <c r="I102" s="9" t="inlineStr">
        <is>
          <t>прострочено</t>
        </is>
      </c>
      <c r="J102" t="inlineStr">
        <is>
          <t>2026-10</t>
        </is>
      </c>
      <c r="K102" s="12" t="inlineStr"/>
    </row>
    <row r="103">
      <c r="A103" s="8" t="n">
        <v>46332</v>
      </c>
      <c r="B103" s="9" t="n">
        <v>8497</v>
      </c>
      <c r="C103" s="9" t="inlineStr">
        <is>
          <t>LSG 110MWt   50 points</t>
        </is>
      </c>
      <c r="D103" s="9" t="inlineStr">
        <is>
          <t>Іщук</t>
        </is>
      </c>
      <c r="E103" s="9" t="inlineStr">
        <is>
          <t>Другий платіж</t>
        </is>
      </c>
      <c r="F103" s="10" t="n">
        <v>508787.5</v>
      </c>
      <c r="G103" s="10" t="n">
        <v>0</v>
      </c>
      <c r="H103" s="11">
        <f>F103-G103</f>
        <v/>
      </c>
      <c r="I103" s="9" t="inlineStr">
        <is>
          <t>очікується</t>
        </is>
      </c>
      <c r="J103" t="inlineStr">
        <is>
          <t>2026-11</t>
        </is>
      </c>
      <c r="K103" s="12" t="inlineStr">
        <is>
          <t>€10 075</t>
        </is>
      </c>
    </row>
    <row r="104">
      <c r="A104" s="8" t="n">
        <v>46334</v>
      </c>
      <c r="B104" s="9" t="n">
        <v>7894</v>
      </c>
      <c r="C104" s="9" t="inlineStr">
        <is>
          <t>SCP Фора  Хотів</t>
        </is>
      </c>
      <c r="D104" s="9" t="inlineStr">
        <is>
          <t>Донська</t>
        </is>
      </c>
      <c r="E104" s="9" t="inlineStr">
        <is>
          <t>П'ятий платіж</t>
        </is>
      </c>
      <c r="F104" s="10" t="n">
        <v>737597.4</v>
      </c>
      <c r="G104" s="10" t="n">
        <v>0</v>
      </c>
      <c r="H104" s="11">
        <f>F104-G104</f>
        <v/>
      </c>
      <c r="I104" s="9" t="inlineStr">
        <is>
          <t>очікується</t>
        </is>
      </c>
      <c r="J104" t="inlineStr">
        <is>
          <t>2026-11</t>
        </is>
      </c>
      <c r="K104" s="12" t="inlineStr"/>
    </row>
    <row r="105">
      <c r="A105" s="8" t="n">
        <v>46342</v>
      </c>
      <c r="B105" s="9" t="n">
        <v>6352</v>
      </c>
      <c r="C105" s="9" t="inlineStr">
        <is>
          <t>АБМК SCP Blade 8PS</t>
        </is>
      </c>
      <c r="D105" s="9" t="inlineStr">
        <is>
          <t>Донська</t>
        </is>
      </c>
      <c r="E105" s="9" t="inlineStr">
        <is>
          <t>П'ятий платіж</t>
        </is>
      </c>
      <c r="F105" s="10" t="n">
        <v>651792.28</v>
      </c>
      <c r="G105" s="10" t="n">
        <v>0</v>
      </c>
      <c r="H105" s="11">
        <f>F105-G105</f>
        <v/>
      </c>
      <c r="I105" s="9" t="inlineStr">
        <is>
          <t>очікується</t>
        </is>
      </c>
      <c r="J105" t="inlineStr">
        <is>
          <t>2026-11</t>
        </is>
      </c>
      <c r="K105" s="12" t="inlineStr"/>
    </row>
    <row r="106">
      <c r="A106" s="8" t="n">
        <v>46346</v>
      </c>
      <c r="B106" s="9" t="n">
        <v>8716</v>
      </c>
      <c r="C106" s="9" t="inlineStr">
        <is>
          <t>SOLAR Наземні СЕС Київ ТОВ ССДЖЕЙ УКРАЇНА</t>
        </is>
      </c>
      <c r="D106" s="9" t="inlineStr">
        <is>
          <t>Іщук</t>
        </is>
      </c>
      <c r="E106" s="9" t="inlineStr">
        <is>
          <t>Другий платіж</t>
        </is>
      </c>
      <c r="F106" s="10" t="n">
        <v>385933.6</v>
      </c>
      <c r="G106" s="10" t="n">
        <v>0</v>
      </c>
      <c r="H106" s="11">
        <f>F106-G106</f>
        <v/>
      </c>
      <c r="I106" s="9" t="inlineStr">
        <is>
          <t>очікується</t>
        </is>
      </c>
      <c r="J106" t="inlineStr">
        <is>
          <t>2026-11</t>
        </is>
      </c>
      <c r="K106" s="12" t="inlineStr"/>
    </row>
    <row r="107">
      <c r="A107" s="8" t="n">
        <v>46356</v>
      </c>
      <c r="B107" s="9" t="n">
        <v>7508</v>
      </c>
      <c r="C107" s="9" t="inlineStr">
        <is>
          <t>8602 Євген Весільна тераса Подорожнє</t>
        </is>
      </c>
      <c r="D107" s="9" t="inlineStr">
        <is>
          <t>Заянчковський</t>
        </is>
      </c>
      <c r="E107" s="9" t="inlineStr">
        <is>
          <t>Третій платіж</t>
        </is>
      </c>
      <c r="F107" s="10" t="n">
        <v>750999.9399999999</v>
      </c>
      <c r="G107" s="10" t="n">
        <v>0</v>
      </c>
      <c r="H107" s="11">
        <f>F107-G107</f>
        <v/>
      </c>
      <c r="I107" s="9" t="inlineStr">
        <is>
          <t>очікується</t>
        </is>
      </c>
      <c r="J107" t="inlineStr">
        <is>
          <t>2026-11</t>
        </is>
      </c>
      <c r="K107" s="12" t="inlineStr"/>
    </row>
    <row r="108">
      <c r="E108" s="3" t="inlineStr">
        <is>
          <t>Разом</t>
        </is>
      </c>
      <c r="F108" s="13">
        <f>SUM(F2:F107)</f>
        <v/>
      </c>
      <c r="G108" s="13">
        <f>SUM(G2:G107)</f>
        <v/>
      </c>
      <c r="H108" s="13">
        <f>SUM(H2:H107)</f>
        <v/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7" t="inlineStr">
        <is>
          <t>Місяць</t>
        </is>
      </c>
      <c r="B1" s="7" t="inlineStr">
        <is>
          <t>План, ₴</t>
        </is>
      </c>
      <c r="C1" s="7" t="inlineStr">
        <is>
          <t>Факт, ₴</t>
        </is>
      </c>
      <c r="D1" s="7" t="inlineStr">
        <is>
          <t>Різниця, ₴</t>
        </is>
      </c>
      <c r="E1" s="7" t="inlineStr">
        <is>
          <t>% отримано</t>
        </is>
      </c>
    </row>
    <row r="2">
      <c r="A2" s="9" t="inlineStr">
        <is>
          <t>кві 2026</t>
        </is>
      </c>
      <c r="B2" s="11">
        <f>SUMIF('Графік надходжень'!J:J,"2026-04",'Графік надходжень'!F:F)</f>
        <v/>
      </c>
      <c r="C2" s="11">
        <f>SUMIF('Графік надходжень'!J:J,"2026-04",'Графік надходжень'!G:G)</f>
        <v/>
      </c>
      <c r="D2" s="11">
        <f>B2-C2</f>
        <v/>
      </c>
      <c r="E2" s="14">
        <f>IF(B2=0,0,C2/B2)</f>
        <v/>
      </c>
    </row>
    <row r="3">
      <c r="A3" s="9" t="inlineStr">
        <is>
          <t>тра 2026</t>
        </is>
      </c>
      <c r="B3" s="11">
        <f>SUMIF('Графік надходжень'!J:J,"2026-05",'Графік надходжень'!F:F)</f>
        <v/>
      </c>
      <c r="C3" s="11">
        <f>SUMIF('Графік надходжень'!J:J,"2026-05",'Графік надходжень'!G:G)</f>
        <v/>
      </c>
      <c r="D3" s="11">
        <f>B3-C3</f>
        <v/>
      </c>
      <c r="E3" s="14">
        <f>IF(B3=0,0,C3/B3)</f>
        <v/>
      </c>
    </row>
    <row r="4">
      <c r="A4" s="9" t="inlineStr">
        <is>
          <t>чер 2026</t>
        </is>
      </c>
      <c r="B4" s="11">
        <f>SUMIF('Графік надходжень'!J:J,"2026-06",'Графік надходжень'!F:F)</f>
        <v/>
      </c>
      <c r="C4" s="11">
        <f>SUMIF('Графік надходжень'!J:J,"2026-06",'Графік надходжень'!G:G)</f>
        <v/>
      </c>
      <c r="D4" s="11">
        <f>B4-C4</f>
        <v/>
      </c>
      <c r="E4" s="14">
        <f>IF(B4=0,0,C4/B4)</f>
        <v/>
      </c>
    </row>
    <row r="5">
      <c r="A5" s="9" t="inlineStr">
        <is>
          <t>лип 2026</t>
        </is>
      </c>
      <c r="B5" s="11">
        <f>SUMIF('Графік надходжень'!J:J,"2026-07",'Графік надходжень'!F:F)</f>
        <v/>
      </c>
      <c r="C5" s="11">
        <f>SUMIF('Графік надходжень'!J:J,"2026-07",'Графік надходжень'!G:G)</f>
        <v/>
      </c>
      <c r="D5" s="11">
        <f>B5-C5</f>
        <v/>
      </c>
      <c r="E5" s="14">
        <f>IF(B5=0,0,C5/B5)</f>
        <v/>
      </c>
    </row>
    <row r="6">
      <c r="A6" s="9" t="inlineStr">
        <is>
          <t>сер 2026</t>
        </is>
      </c>
      <c r="B6" s="11">
        <f>SUMIF('Графік надходжень'!J:J,"2026-08",'Графік надходжень'!F:F)</f>
        <v/>
      </c>
      <c r="C6" s="11">
        <f>SUMIF('Графік надходжень'!J:J,"2026-08",'Графік надходжень'!G:G)</f>
        <v/>
      </c>
      <c r="D6" s="11">
        <f>B6-C6</f>
        <v/>
      </c>
      <c r="E6" s="14">
        <f>IF(B6=0,0,C6/B6)</f>
        <v/>
      </c>
    </row>
    <row r="7">
      <c r="A7" s="9" t="inlineStr">
        <is>
          <t>вер 2026</t>
        </is>
      </c>
      <c r="B7" s="11">
        <f>SUMIF('Графік надходжень'!J:J,"2026-09",'Графік надходжень'!F:F)</f>
        <v/>
      </c>
      <c r="C7" s="11">
        <f>SUMIF('Графік надходжень'!J:J,"2026-09",'Графік надходжень'!G:G)</f>
        <v/>
      </c>
      <c r="D7" s="11">
        <f>B7-C7</f>
        <v/>
      </c>
      <c r="E7" s="14">
        <f>IF(B7=0,0,C7/B7)</f>
        <v/>
      </c>
    </row>
    <row r="8">
      <c r="A8" s="9" t="inlineStr">
        <is>
          <t>жов 2026</t>
        </is>
      </c>
      <c r="B8" s="11">
        <f>SUMIF('Графік надходжень'!J:J,"2026-10",'Графік надходжень'!F:F)</f>
        <v/>
      </c>
      <c r="C8" s="11">
        <f>SUMIF('Графік надходжень'!J:J,"2026-10",'Графік надходжень'!G:G)</f>
        <v/>
      </c>
      <c r="D8" s="11">
        <f>B8-C8</f>
        <v/>
      </c>
      <c r="E8" s="14">
        <f>IF(B8=0,0,C8/B8)</f>
        <v/>
      </c>
    </row>
    <row r="9">
      <c r="A9" s="9" t="inlineStr">
        <is>
          <t>лис 2026</t>
        </is>
      </c>
      <c r="B9" s="11">
        <f>SUMIF('Графік надходжень'!J:J,"2026-11",'Графік надходжень'!F:F)</f>
        <v/>
      </c>
      <c r="C9" s="11">
        <f>SUMIF('Графік надходжень'!J:J,"2026-11",'Графік надходжень'!G:G)</f>
        <v/>
      </c>
      <c r="D9" s="11">
        <f>B9-C9</f>
        <v/>
      </c>
      <c r="E9" s="14">
        <f>IF(B9=0,0,C9/B9)</f>
        <v/>
      </c>
    </row>
    <row r="10">
      <c r="A10" s="3" t="inlineStr">
        <is>
          <t>Разом</t>
        </is>
      </c>
      <c r="B10" s="13">
        <f>SUM(B2:B9)</f>
        <v/>
      </c>
      <c r="C10" s="13">
        <f>SUM(C2:C9)</f>
        <v/>
      </c>
      <c r="D10" s="13">
        <f>SUM(D2:D9)</f>
        <v/>
      </c>
      <c r="E10" s="15">
        <f>IF(B10=0,0,C10/B10)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0" customWidth="1" min="3" max="3"/>
    <col width="18" customWidth="1" min="4" max="4"/>
    <col width="15" customWidth="1" min="5" max="5"/>
    <col width="15" customWidth="1" min="6" max="6"/>
    <col width="15" customWidth="1" min="7" max="7"/>
  </cols>
  <sheetData>
    <row r="1">
      <c r="A1" s="7" t="inlineStr">
        <is>
          <t>Планова дата</t>
        </is>
      </c>
      <c r="B1" s="7" t="inlineStr">
        <is>
          <t>№ проєкту</t>
        </is>
      </c>
      <c r="C1" s="7" t="inlineStr">
        <is>
          <t>Проєкт</t>
        </is>
      </c>
      <c r="D1" s="7" t="inlineStr">
        <is>
          <t>Платіж</t>
        </is>
      </c>
      <c r="E1" s="7" t="inlineStr">
        <is>
          <t>План, ₴</t>
        </is>
      </c>
      <c r="F1" s="7" t="inlineStr">
        <is>
          <t>Факт, ₴</t>
        </is>
      </c>
      <c r="G1" s="7" t="inlineStr">
        <is>
          <t>Борг, ₴</t>
        </is>
      </c>
    </row>
    <row r="2">
      <c r="A2" s="8" t="n">
        <v>46325</v>
      </c>
      <c r="B2" s="9" t="n">
        <v>5910</v>
      </c>
      <c r="C2" s="9" t="inlineStr">
        <is>
          <t>SGM Brdovec, Хорватия</t>
        </is>
      </c>
      <c r="D2" s="9" t="inlineStr">
        <is>
          <t>Третій платіж</t>
        </is>
      </c>
      <c r="E2" s="11" t="n">
        <v>2812547</v>
      </c>
      <c r="F2" s="11" t="n">
        <v>1341330.5</v>
      </c>
      <c r="G2" s="11">
        <f>E2-F2</f>
        <v/>
      </c>
    </row>
    <row r="3">
      <c r="A3" s="8" t="n">
        <v>46325</v>
      </c>
      <c r="B3" s="9" t="n">
        <v>5910</v>
      </c>
      <c r="C3" s="9" t="inlineStr">
        <is>
          <t>SGM Brdovec, Хорватия</t>
        </is>
      </c>
      <c r="D3" s="9" t="inlineStr">
        <is>
          <t>Другий платіж 60%</t>
        </is>
      </c>
      <c r="E3" s="11" t="n">
        <v>16876140.5</v>
      </c>
      <c r="F3" s="11" t="n">
        <v>15646465.5</v>
      </c>
      <c r="G3" s="11">
        <f>E3-F3</f>
        <v/>
      </c>
    </row>
    <row r="4">
      <c r="A4" s="8" t="n">
        <v>46325</v>
      </c>
      <c r="B4" s="9" t="n">
        <v>4766</v>
      </c>
      <c r="C4" s="9" t="inlineStr">
        <is>
          <t>ALTECO Carport Model Taurus 280кВт</t>
        </is>
      </c>
      <c r="D4" s="9" t="inlineStr">
        <is>
          <t>П'ятий платіж</t>
        </is>
      </c>
      <c r="E4" s="11" t="n">
        <v>1263447.42</v>
      </c>
      <c r="F4" s="11" t="n">
        <v>1050000</v>
      </c>
      <c r="G4" s="11">
        <f>E4-F4</f>
        <v/>
      </c>
    </row>
    <row r="5">
      <c r="A5" s="8" t="n">
        <v>46325</v>
      </c>
      <c r="B5" s="9" t="n">
        <v>7244</v>
      </c>
      <c r="C5" s="9" t="inlineStr">
        <is>
          <t>В Модулекс модульна будівля Чернігів</t>
        </is>
      </c>
      <c r="D5" s="9" t="inlineStr">
        <is>
          <t>П'ятий платіж</t>
        </is>
      </c>
      <c r="E5" s="11" t="n">
        <v>132708.6</v>
      </c>
      <c r="F5" s="11" t="n">
        <v>0</v>
      </c>
      <c r="G5" s="11">
        <f>E5-F5</f>
        <v/>
      </c>
    </row>
    <row r="6">
      <c r="A6" s="8" t="n">
        <v>46260</v>
      </c>
      <c r="B6" s="9" t="n">
        <v>6406</v>
      </c>
      <c r="C6" s="9" t="inlineStr">
        <is>
          <t>Максим Яловий Чинадієво</t>
        </is>
      </c>
      <c r="D6" s="9" t="inlineStr">
        <is>
          <t>Другий платіж</t>
        </is>
      </c>
      <c r="E6" s="11" t="n">
        <v>218602</v>
      </c>
      <c r="F6" s="11" t="n">
        <v>170788</v>
      </c>
      <c r="G6" s="11">
        <f>E6-F6</f>
        <v/>
      </c>
    </row>
    <row r="7">
      <c r="D7" s="3" t="inlineStr">
        <is>
          <t>Разом</t>
        </is>
      </c>
      <c r="E7" s="13">
        <f>SUM(E2:E6)</f>
        <v/>
      </c>
      <c r="F7" s="13">
        <f>SUM(F2:F6)</f>
        <v/>
      </c>
      <c r="G7" s="13">
        <f>SUM(G2:G6)</f>
        <v/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2026-10-30T05:37:35Z</dcterms:created>
  <dcterms:modified xmlns:dcterms="http://purl.org/dc/terms/" xmlns:xsi="http://www.w3.org/2001/XMLSchema-instance" xsi:type="dcterms:W3CDTF">2026-10-30T05:37:36Z</dcterms:modified>
</cp:coreProperties>
</file>