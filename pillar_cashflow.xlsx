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ведення" sheetId="1" state="visible" r:id="rId1"/>
    <sheet xmlns:r="http://schemas.openxmlformats.org/officeDocument/2006/relationships" name="Графік надходжень" sheetId="2" state="visible" r:id="rId2"/>
    <sheet xmlns:r="http://schemas.openxmlformats.org/officeDocument/2006/relationships" name="По місяцях" sheetId="3" state="visible" r:id="rId3"/>
    <sheet xmlns:r="http://schemas.openxmlformats.org/officeDocument/2006/relationships" name="Прострочені" sheetId="4" state="visible" r:id="rId4"/>
  </sheets>
  <definedNames>
    <definedName name="_xlnm._FilterDatabase" localSheetId="1" hidden="1">'Графік надходжень'!$A$1:$I$62</definedName>
    <definedName name="_xlnm._FilterDatabase" localSheetId="3" hidden="1">'Прострочені'!$A$1:$G$6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.MM.YYYY"/>
    <numFmt numFmtId="166" formatCode="#,##0&quot; ₴&quot;;(#,##0)&quot; ₴&quot;;&quot;-&quot;"/>
    <numFmt numFmtId="167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color rgb="00E85D1A"/>
      <sz val="14"/>
    </font>
    <font>
      <name val="Arial"/>
      <i val="1"/>
      <color rgb="00666666"/>
      <sz val="9"/>
    </font>
    <font>
      <name val="Arial"/>
      <b val="1"/>
      <sz val="11"/>
    </font>
  </fonts>
  <fills count="4">
    <fill>
      <patternFill/>
    </fill>
    <fill>
      <patternFill patternType="gray125"/>
    </fill>
    <fill>
      <patternFill patternType="solid">
        <fgColor rgb="001A2332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166" fontId="7" fillId="0" borderId="0" pivotButton="0" quotePrefix="0" xfId="0"/>
    <xf numFmtId="167" fontId="7" fillId="0" borderId="0" pivotButton="0" quotePrefix="0" xfId="0"/>
    <xf numFmtId="1" fontId="7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5" fontId="2" fillId="0" borderId="1" pivotButton="0" quotePrefix="0" xfId="0"/>
    <xf numFmtId="0" fontId="2" fillId="0" borderId="1" pivotButton="0" quotePrefix="0" xfId="0"/>
    <xf numFmtId="166" fontId="3" fillId="0" borderId="1" pivotButton="0" quotePrefix="0" xfId="0"/>
    <xf numFmtId="166" fontId="2" fillId="0" borderId="1" pivotButton="0" quotePrefix="0" xfId="0"/>
    <xf numFmtId="166" fontId="4" fillId="3" borderId="0" pivotButton="0" quotePrefix="0" xfId="0"/>
    <xf numFmtId="167" fontId="2" fillId="0" borderId="1" pivotButton="0" quotePrefix="0" xfId="0"/>
    <xf numFmtId="167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8" customWidth="1" min="1" max="1"/>
    <col width="20" customWidth="1" min="2" max="2"/>
  </cols>
  <sheetData>
    <row r="1">
      <c r="A1" s="1" t="inlineStr">
        <is>
          <t>Грошовий потік — звіт Pillar</t>
        </is>
      </c>
    </row>
    <row r="2">
      <c r="A2" s="2" t="inlineStr">
        <is>
          <t>Дані: 30.06.2026 · без проєктів на паузі/втрачених</t>
        </is>
      </c>
    </row>
    <row r="4">
      <c r="A4" s="3" t="inlineStr">
        <is>
          <t>План усього, ₴</t>
        </is>
      </c>
      <c r="B4" s="4">
        <f>SUMIF('Графік надходжень'!J:J,"&lt;&gt;",'Графік надходжень'!F:F)</f>
        <v/>
      </c>
    </row>
    <row r="5">
      <c r="A5" s="3" t="inlineStr">
        <is>
          <t>Отримано (факт), ₴</t>
        </is>
      </c>
      <c r="B5" s="4">
        <f>SUMIF('Графік надходжень'!J:J,"&lt;&gt;",'Графік надходжень'!G:G)</f>
        <v/>
      </c>
    </row>
    <row r="6">
      <c r="A6" s="3" t="inlineStr">
        <is>
          <t>Очікується, ₴</t>
        </is>
      </c>
      <c r="B6" s="4">
        <f>B4-B5</f>
        <v/>
      </c>
    </row>
    <row r="7">
      <c r="A7" s="3" t="inlineStr">
        <is>
          <t>Отримано, %</t>
        </is>
      </c>
      <c r="B7" s="5">
        <f>IF(B4=0,0,B5/B4)</f>
        <v/>
      </c>
    </row>
    <row r="8">
      <c r="A8" s="3" t="inlineStr">
        <is>
          <t>Прострочені надходження, ₴</t>
        </is>
      </c>
      <c r="B8" s="4">
        <f>SUMIF('Прострочені'!A:A,"&lt;&gt;",'Прострочені'!G:G)</f>
        <v/>
      </c>
    </row>
    <row r="9">
      <c r="A9" s="3" t="inlineStr">
        <is>
          <t>К-сть платежів</t>
        </is>
      </c>
      <c r="B9" s="6">
        <f>COUNTIF('Графік надходжень'!J2:J100000,"&lt;&gt;")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30" customWidth="1" min="3" max="3"/>
    <col width="15" customWidth="1" min="4" max="4"/>
    <col width="18" customWidth="1" min="5" max="5"/>
    <col width="15" customWidth="1" min="6" max="6"/>
    <col width="15" customWidth="1" min="7" max="7"/>
    <col width="15" customWidth="1" min="8" max="8"/>
    <col width="13" customWidth="1" min="9" max="9"/>
    <col hidden="1" width="9" customWidth="1" min="10" max="10"/>
  </cols>
  <sheetData>
    <row r="1">
      <c r="A1" s="7" t="inlineStr">
        <is>
          <t>Планова дата</t>
        </is>
      </c>
      <c r="B1" s="7" t="inlineStr">
        <is>
          <t>№ проєкту</t>
        </is>
      </c>
      <c r="C1" s="7" t="inlineStr">
        <is>
          <t>Проєкт</t>
        </is>
      </c>
      <c r="D1" s="7" t="inlineStr">
        <is>
          <t>ПМ</t>
        </is>
      </c>
      <c r="E1" s="7" t="inlineStr">
        <is>
          <t>Платіж</t>
        </is>
      </c>
      <c r="F1" s="7" t="inlineStr">
        <is>
          <t>План, ₴</t>
        </is>
      </c>
      <c r="G1" s="7" t="inlineStr">
        <is>
          <t>Факт, ₴</t>
        </is>
      </c>
      <c r="H1" s="7" t="inlineStr">
        <is>
          <t>Різниця, ₴</t>
        </is>
      </c>
      <c r="I1" s="7" t="inlineStr">
        <is>
          <t>Статус</t>
        </is>
      </c>
      <c r="J1" s="7" t="inlineStr">
        <is>
          <t>YM</t>
        </is>
      </c>
    </row>
    <row r="2">
      <c r="A2" s="8" t="n">
        <v>46113</v>
      </c>
      <c r="B2" s="9" t="n">
        <v>7068</v>
      </c>
      <c r="C2" s="9" t="inlineStr">
        <is>
          <t>А Remtec energy  AGM  160 TP</t>
        </is>
      </c>
      <c r="D2" s="9" t="inlineStr">
        <is>
          <t>Александров</t>
        </is>
      </c>
      <c r="E2" s="9" t="inlineStr">
        <is>
          <t>Авансовий платіж</t>
        </is>
      </c>
      <c r="F2" s="10" t="n">
        <v>5640128</v>
      </c>
      <c r="G2" s="10" t="n">
        <v>1692038</v>
      </c>
      <c r="H2" s="11">
        <f>F2-G2</f>
        <v/>
      </c>
      <c r="I2" s="9" t="inlineStr">
        <is>
          <t>прострочено</t>
        </is>
      </c>
      <c r="J2" t="inlineStr">
        <is>
          <t>2026-04</t>
        </is>
      </c>
    </row>
    <row r="3">
      <c r="A3" s="8" t="n">
        <v>46128</v>
      </c>
      <c r="B3" s="9" t="n">
        <v>8070</v>
      </c>
      <c r="C3" s="9" t="inlineStr">
        <is>
          <t>А Карпорты B2C  SCP</t>
        </is>
      </c>
      <c r="D3" s="9" t="inlineStr">
        <is>
          <t>Іщук</t>
        </is>
      </c>
      <c r="E3" s="9" t="inlineStr">
        <is>
          <t>Авансовий платіж</t>
        </is>
      </c>
      <c r="F3" s="10" t="n">
        <v>126641</v>
      </c>
      <c r="G3" s="10" t="n">
        <v>126641</v>
      </c>
      <c r="H3" s="11">
        <f>F3-G3</f>
        <v/>
      </c>
      <c r="I3" s="9" t="inlineStr">
        <is>
          <t>отримано</t>
        </is>
      </c>
      <c r="J3" t="inlineStr">
        <is>
          <t>2026-04</t>
        </is>
      </c>
    </row>
    <row r="4">
      <c r="A4" s="8" t="n">
        <v>46129</v>
      </c>
      <c r="B4" s="9" t="n">
        <v>7536</v>
      </c>
      <c r="C4" s="9" t="inlineStr">
        <is>
          <t>А Ранчо “Едельвейс”  AGM  171PV</t>
        </is>
      </c>
      <c r="D4" s="9" t="inlineStr">
        <is>
          <t>Іщук</t>
        </is>
      </c>
      <c r="E4" s="9" t="inlineStr">
        <is>
          <t>Авансовий платіж</t>
        </is>
      </c>
      <c r="F4" s="10" t="n">
        <v>244374</v>
      </c>
      <c r="G4" s="10" t="n">
        <v>244374</v>
      </c>
      <c r="H4" s="11">
        <f>F4-G4</f>
        <v/>
      </c>
      <c r="I4" s="9" t="inlineStr">
        <is>
          <t>отримано</t>
        </is>
      </c>
      <c r="J4" t="inlineStr">
        <is>
          <t>2026-04</t>
        </is>
      </c>
    </row>
    <row r="5">
      <c r="A5" s="8" t="n">
        <v>46133</v>
      </c>
      <c r="B5" s="9" t="n">
        <v>7244</v>
      </c>
      <c r="C5" s="9" t="inlineStr">
        <is>
          <t>В Модулекс модульна будівля Чернігів</t>
        </is>
      </c>
      <c r="D5" s="9" t="inlineStr">
        <is>
          <t>Заянчковський</t>
        </is>
      </c>
      <c r="E5" s="9" t="inlineStr">
        <is>
          <t>Авансовий платіж</t>
        </is>
      </c>
      <c r="F5" s="10" t="n">
        <v>77600</v>
      </c>
      <c r="G5" s="10" t="n">
        <v>77600</v>
      </c>
      <c r="H5" s="11">
        <f>F5-G5</f>
        <v/>
      </c>
      <c r="I5" s="9" t="inlineStr">
        <is>
          <t>отримано</t>
        </is>
      </c>
      <c r="J5" t="inlineStr">
        <is>
          <t>2026-04</t>
        </is>
      </c>
    </row>
    <row r="6">
      <c r="A6" s="8" t="n">
        <v>46134</v>
      </c>
      <c r="B6" s="9" t="n">
        <v>8140</v>
      </c>
      <c r="C6" s="9" t="inlineStr">
        <is>
          <t>В Газинвестпроект фундамент Киев</t>
        </is>
      </c>
      <c r="D6" s="9" t="inlineStr">
        <is>
          <t>Заянчковський</t>
        </is>
      </c>
      <c r="E6" s="9" t="inlineStr">
        <is>
          <t>Авансовий платіж</t>
        </is>
      </c>
      <c r="F6" s="10" t="n">
        <v>150000</v>
      </c>
      <c r="G6" s="10" t="n">
        <v>150000</v>
      </c>
      <c r="H6" s="11">
        <f>F6-G6</f>
        <v/>
      </c>
      <c r="I6" s="9" t="inlineStr">
        <is>
          <t>отримано</t>
        </is>
      </c>
      <c r="J6" t="inlineStr">
        <is>
          <t>2026-04</t>
        </is>
      </c>
    </row>
    <row r="7">
      <c r="A7" s="8" t="n">
        <v>46142</v>
      </c>
      <c r="B7" s="9" t="n">
        <v>7536</v>
      </c>
      <c r="C7" s="9" t="inlineStr">
        <is>
          <t>А Ранчо “Едельвейс”  AGM  171PV</t>
        </is>
      </c>
      <c r="D7" s="9" t="inlineStr">
        <is>
          <t>Іщук</t>
        </is>
      </c>
      <c r="E7" s="9" t="inlineStr">
        <is>
          <t>Другий платіж</t>
        </is>
      </c>
      <c r="F7" s="10" t="n">
        <v>200000</v>
      </c>
      <c r="G7" s="10" t="n">
        <v>200000</v>
      </c>
      <c r="H7" s="11">
        <f>F7-G7</f>
        <v/>
      </c>
      <c r="I7" s="9" t="inlineStr">
        <is>
          <t>отримано</t>
        </is>
      </c>
      <c r="J7" t="inlineStr">
        <is>
          <t>2026-04</t>
        </is>
      </c>
    </row>
    <row r="8">
      <c r="A8" s="8" t="n">
        <v>46147</v>
      </c>
      <c r="B8" s="9" t="n">
        <v>3456</v>
      </c>
      <c r="C8" s="9" t="inlineStr">
        <is>
          <t>А Підселання фундаменту</t>
        </is>
      </c>
      <c r="D8" s="9" t="inlineStr">
        <is>
          <t>Донська</t>
        </is>
      </c>
      <c r="E8" s="9" t="inlineStr">
        <is>
          <t>Авансовий платіж</t>
        </is>
      </c>
      <c r="F8" s="10" t="n">
        <v>421968</v>
      </c>
      <c r="G8" s="10" t="n">
        <v>421968</v>
      </c>
      <c r="H8" s="11">
        <f>F8-G8</f>
        <v/>
      </c>
      <c r="I8" s="9" t="inlineStr">
        <is>
          <t>отримано</t>
        </is>
      </c>
      <c r="J8" t="inlineStr">
        <is>
          <t>2026-05</t>
        </is>
      </c>
    </row>
    <row r="9">
      <c r="A9" s="8" t="n">
        <v>46154</v>
      </c>
      <c r="B9" s="9" t="n">
        <v>7536</v>
      </c>
      <c r="C9" s="9" t="inlineStr">
        <is>
          <t>А Ранчо “Едельвейс”  AGM  171PV</t>
        </is>
      </c>
      <c r="D9" s="9" t="inlineStr">
        <is>
          <t>Іщук</t>
        </is>
      </c>
      <c r="E9" s="9" t="inlineStr">
        <is>
          <t>Третій платіж</t>
        </is>
      </c>
      <c r="F9" s="10" t="n">
        <v>200000</v>
      </c>
      <c r="G9" s="10" t="n">
        <v>200000</v>
      </c>
      <c r="H9" s="11">
        <f>F9-G9</f>
        <v/>
      </c>
      <c r="I9" s="9" t="inlineStr">
        <is>
          <t>отримано</t>
        </is>
      </c>
      <c r="J9" t="inlineStr">
        <is>
          <t>2026-05</t>
        </is>
      </c>
    </row>
    <row r="10">
      <c r="A10" s="8" t="n">
        <v>46154</v>
      </c>
      <c r="B10" s="9" t="n">
        <v>8360</v>
      </c>
      <c r="C10" s="9" t="inlineStr">
        <is>
          <t>Хаджет Лебедівка</t>
        </is>
      </c>
      <c r="D10" s="9" t="inlineStr">
        <is>
          <t>Донська</t>
        </is>
      </c>
      <c r="E10" s="9" t="inlineStr">
        <is>
          <t>Авансовий платіж</t>
        </is>
      </c>
      <c r="F10" s="10" t="n">
        <v>231000</v>
      </c>
      <c r="G10" s="10" t="n">
        <v>231000</v>
      </c>
      <c r="H10" s="11">
        <f>F10-G10</f>
        <v/>
      </c>
      <c r="I10" s="9" t="inlineStr">
        <is>
          <t>отримано</t>
        </is>
      </c>
      <c r="J10" t="inlineStr">
        <is>
          <t>2026-05</t>
        </is>
      </c>
    </row>
    <row r="11">
      <c r="A11" s="8" t="n">
        <v>46160</v>
      </c>
      <c r="B11" s="9" t="n">
        <v>8008</v>
      </c>
      <c r="C11" s="9" t="inlineStr">
        <is>
          <t>Модулі Григорівка</t>
        </is>
      </c>
      <c r="D11" s="9" t="inlineStr">
        <is>
          <t>Донська</t>
        </is>
      </c>
      <c r="E11" s="9" t="inlineStr">
        <is>
          <t>Авансовий платіж</t>
        </is>
      </c>
      <c r="F11" s="10" t="n">
        <v>430850.64</v>
      </c>
      <c r="G11" s="10" t="n">
        <v>430850.64</v>
      </c>
      <c r="H11" s="11">
        <f>F11-G11</f>
        <v/>
      </c>
      <c r="I11" s="9" t="inlineStr">
        <is>
          <t>отримано</t>
        </is>
      </c>
      <c r="J11" t="inlineStr">
        <is>
          <t>2026-05</t>
        </is>
      </c>
    </row>
    <row r="12">
      <c r="A12" s="8" t="n">
        <v>46161</v>
      </c>
      <c r="B12" s="9" t="n">
        <v>5870</v>
      </c>
      <c r="C12" s="9" t="inlineStr">
        <is>
          <t>Carport Airport Munich</t>
        </is>
      </c>
      <c r="D12" s="9" t="inlineStr">
        <is>
          <t>Александров</t>
        </is>
      </c>
      <c r="E12" s="9" t="inlineStr">
        <is>
          <t>Авансовий платіж</t>
        </is>
      </c>
      <c r="F12" s="10" t="n">
        <v>2600000</v>
      </c>
      <c r="G12" s="10" t="n">
        <v>2600000</v>
      </c>
      <c r="H12" s="11">
        <f>F12-G12</f>
        <v/>
      </c>
      <c r="I12" s="9" t="inlineStr">
        <is>
          <t>отримано</t>
        </is>
      </c>
      <c r="J12" t="inlineStr">
        <is>
          <t>2026-05</t>
        </is>
      </c>
    </row>
    <row r="13">
      <c r="A13" s="8" t="n">
        <v>46161</v>
      </c>
      <c r="B13" s="9" t="n">
        <v>6704</v>
      </c>
      <c r="C13" s="9" t="inlineStr">
        <is>
          <t>SCP Taurus 236PS</t>
        </is>
      </c>
      <c r="D13" s="9" t="inlineStr">
        <is>
          <t>Александров</t>
        </is>
      </c>
      <c r="E13" s="9" t="inlineStr">
        <is>
          <t>Авансовий платіж</t>
        </is>
      </c>
      <c r="F13" s="10" t="n">
        <v>5200000</v>
      </c>
      <c r="G13" s="10" t="n">
        <v>5200000</v>
      </c>
      <c r="H13" s="11">
        <f>F13-G13</f>
        <v/>
      </c>
      <c r="I13" s="9" t="inlineStr">
        <is>
          <t>отримано</t>
        </is>
      </c>
      <c r="J13" t="inlineStr">
        <is>
          <t>2026-05</t>
        </is>
      </c>
    </row>
    <row r="14">
      <c r="A14" s="8" t="n">
        <v>46161</v>
      </c>
      <c r="B14" s="9" t="n">
        <v>7002</v>
      </c>
      <c r="C14" s="9" t="inlineStr">
        <is>
          <t>А Фора  SCP W 24PS V1</t>
        </is>
      </c>
      <c r="D14" s="9" t="inlineStr">
        <is>
          <t>Донська</t>
        </is>
      </c>
      <c r="E14" s="9" t="inlineStr">
        <is>
          <t>Авансовий платіж</t>
        </is>
      </c>
      <c r="F14" s="10" t="n">
        <v>1015173.12</v>
      </c>
      <c r="G14" s="10" t="n">
        <v>1015173.12</v>
      </c>
      <c r="H14" s="11">
        <f>F14-G14</f>
        <v/>
      </c>
      <c r="I14" s="9" t="inlineStr">
        <is>
          <t>отримано</t>
        </is>
      </c>
      <c r="J14" t="inlineStr">
        <is>
          <t>2026-05</t>
        </is>
      </c>
    </row>
    <row r="15">
      <c r="A15" s="8" t="n">
        <v>46161</v>
      </c>
      <c r="B15" s="9" t="n">
        <v>7536</v>
      </c>
      <c r="C15" s="9" t="inlineStr">
        <is>
          <t>А Ранчо “Едельвейс”  AGM  171PV</t>
        </is>
      </c>
      <c r="D15" s="9" t="inlineStr">
        <is>
          <t>Іщук</t>
        </is>
      </c>
      <c r="E15" s="9" t="inlineStr">
        <is>
          <t>Четвертий платіж</t>
        </is>
      </c>
      <c r="F15" s="10" t="n">
        <v>200000</v>
      </c>
      <c r="G15" s="10" t="n">
        <v>200000</v>
      </c>
      <c r="H15" s="11">
        <f>F15-G15</f>
        <v/>
      </c>
      <c r="I15" s="9" t="inlineStr">
        <is>
          <t>отримано</t>
        </is>
      </c>
      <c r="J15" t="inlineStr">
        <is>
          <t>2026-05</t>
        </is>
      </c>
    </row>
    <row r="16">
      <c r="A16" s="8" t="n">
        <v>46161</v>
      </c>
      <c r="B16" s="9" t="n">
        <v>8438</v>
      </c>
      <c r="C16" s="9" t="inlineStr">
        <is>
          <t>GS</t>
        </is>
      </c>
      <c r="D16" s="9" t="inlineStr">
        <is>
          <t>Александров</t>
        </is>
      </c>
      <c r="E16" s="9" t="inlineStr">
        <is>
          <t>Авансовий платіж</t>
        </is>
      </c>
      <c r="F16" s="10" t="n">
        <v>758160</v>
      </c>
      <c r="G16" s="10" t="n">
        <v>758160</v>
      </c>
      <c r="H16" s="11">
        <f>F16-G16</f>
        <v/>
      </c>
      <c r="I16" s="9" t="inlineStr">
        <is>
          <t>отримано</t>
        </is>
      </c>
      <c r="J16" t="inlineStr">
        <is>
          <t>2026-05</t>
        </is>
      </c>
    </row>
    <row r="17">
      <c r="A17" s="8" t="n">
        <v>46162</v>
      </c>
      <c r="B17" s="9" t="n">
        <v>8238</v>
      </c>
      <c r="C17" s="9" t="inlineStr">
        <is>
          <t>А UTEM SOLAR  SCP Taurus 190PV</t>
        </is>
      </c>
      <c r="D17" s="9" t="inlineStr">
        <is>
          <t>Іщук</t>
        </is>
      </c>
      <c r="E17" s="9" t="inlineStr">
        <is>
          <t>Авансовий платіж</t>
        </is>
      </c>
      <c r="F17" s="10" t="n">
        <v>2011000</v>
      </c>
      <c r="G17" s="10" t="n">
        <v>2011000</v>
      </c>
      <c r="H17" s="11">
        <f>F17-G17</f>
        <v/>
      </c>
      <c r="I17" s="9" t="inlineStr">
        <is>
          <t>отримано</t>
        </is>
      </c>
      <c r="J17" t="inlineStr">
        <is>
          <t>2026-05</t>
        </is>
      </c>
    </row>
    <row r="18">
      <c r="A18" s="8" t="n">
        <v>46164</v>
      </c>
      <c r="B18" s="9" t="n">
        <v>7536</v>
      </c>
      <c r="C18" s="9" t="inlineStr">
        <is>
          <t>А Ранчо “Едельвейс”  AGM  171PV</t>
        </is>
      </c>
      <c r="D18" s="9" t="inlineStr">
        <is>
          <t>Іщук</t>
        </is>
      </c>
      <c r="E18" s="9" t="inlineStr">
        <is>
          <t>П'ятий платіж</t>
        </is>
      </c>
      <c r="F18" s="10" t="n">
        <v>67972.8</v>
      </c>
      <c r="G18" s="10" t="n">
        <v>67972.8</v>
      </c>
      <c r="H18" s="11">
        <f>F18-G18</f>
        <v/>
      </c>
      <c r="I18" s="9" t="inlineStr">
        <is>
          <t>отримано</t>
        </is>
      </c>
      <c r="J18" t="inlineStr">
        <is>
          <t>2026-05</t>
        </is>
      </c>
    </row>
    <row r="19">
      <c r="A19" s="8" t="n">
        <v>46167</v>
      </c>
      <c r="B19" s="9" t="n">
        <v>7508</v>
      </c>
      <c r="C19" s="9" t="inlineStr">
        <is>
          <t>8602 Євген Весільна тераса Подорожнє</t>
        </is>
      </c>
      <c r="D19" s="9" t="inlineStr">
        <is>
          <t>Заянчковський</t>
        </is>
      </c>
      <c r="E19" s="9" t="inlineStr">
        <is>
          <t>Авансовий платіж</t>
        </is>
      </c>
      <c r="F19" s="10" t="n">
        <v>1245999.94</v>
      </c>
      <c r="G19" s="10" t="n">
        <v>1245999.94</v>
      </c>
      <c r="H19" s="11">
        <f>F19-G19</f>
        <v/>
      </c>
      <c r="I19" s="9" t="inlineStr">
        <is>
          <t>отримано</t>
        </is>
      </c>
      <c r="J19" t="inlineStr">
        <is>
          <t>2026-05</t>
        </is>
      </c>
    </row>
    <row r="20">
      <c r="A20" s="8" t="n">
        <v>46168</v>
      </c>
      <c r="B20" s="9" t="n">
        <v>7508</v>
      </c>
      <c r="C20" s="9" t="inlineStr">
        <is>
          <t>8602 Євген Весільна тераса Подорожнє</t>
        </is>
      </c>
      <c r="D20" s="9" t="inlineStr">
        <is>
          <t>Заянчковський</t>
        </is>
      </c>
      <c r="E20" s="9" t="inlineStr">
        <is>
          <t>Другий платіж</t>
        </is>
      </c>
      <c r="F20" s="10" t="n">
        <v>751000.0600000001</v>
      </c>
      <c r="G20" s="10" t="n">
        <v>751000.0600000001</v>
      </c>
      <c r="H20" s="11">
        <f>F20-G20</f>
        <v/>
      </c>
      <c r="I20" s="9" t="inlineStr">
        <is>
          <t>отримано</t>
        </is>
      </c>
      <c r="J20" t="inlineStr">
        <is>
          <t>2026-05</t>
        </is>
      </c>
    </row>
    <row r="21">
      <c r="A21" s="8" t="n">
        <v>46169</v>
      </c>
      <c r="B21" s="9" t="n">
        <v>6842</v>
      </c>
      <c r="C21" s="9" t="inlineStr">
        <is>
          <t>2</t>
        </is>
      </c>
      <c r="D21" s="9" t="inlineStr">
        <is>
          <t>Александров</t>
        </is>
      </c>
      <c r="E21" s="9" t="inlineStr">
        <is>
          <t>Авансовий платіж</t>
        </is>
      </c>
      <c r="F21" s="10" t="n">
        <v>3308968</v>
      </c>
      <c r="G21" s="10" t="n">
        <v>3308968</v>
      </c>
      <c r="H21" s="11">
        <f>F21-G21</f>
        <v/>
      </c>
      <c r="I21" s="9" t="inlineStr">
        <is>
          <t>отримано</t>
        </is>
      </c>
      <c r="J21" t="inlineStr">
        <is>
          <t>2026-05</t>
        </is>
      </c>
    </row>
    <row r="22">
      <c r="A22" s="8" t="n">
        <v>46169</v>
      </c>
      <c r="B22" s="9" t="n">
        <v>7960</v>
      </c>
      <c r="C22" s="9" t="inlineStr">
        <is>
          <t>Сірокко Sirocco вітрова ел ст Львів</t>
        </is>
      </c>
      <c r="D22" s="9" t="inlineStr">
        <is>
          <t>Іщук</t>
        </is>
      </c>
      <c r="E22" s="9" t="inlineStr">
        <is>
          <t>Авансовий платіж</t>
        </is>
      </c>
      <c r="F22" s="10" t="n">
        <v>99610.8</v>
      </c>
      <c r="G22" s="10" t="n">
        <v>99610.8</v>
      </c>
      <c r="H22" s="11">
        <f>F22-G22</f>
        <v/>
      </c>
      <c r="I22" s="9" t="inlineStr">
        <is>
          <t>отримано</t>
        </is>
      </c>
      <c r="J22" t="inlineStr">
        <is>
          <t>2026-05</t>
        </is>
      </c>
    </row>
    <row r="23">
      <c r="A23" s="8" t="n">
        <v>46169</v>
      </c>
      <c r="B23" s="9" t="n">
        <v>8454</v>
      </c>
      <c r="C23" s="9" t="inlineStr">
        <is>
          <t>Олександр каркасний Верховина</t>
        </is>
      </c>
      <c r="D23" s="9" t="inlineStr">
        <is>
          <t>Донська</t>
        </is>
      </c>
      <c r="E23" s="9" t="inlineStr">
        <is>
          <t>Авансовий платіж</t>
        </is>
      </c>
      <c r="F23" s="10" t="n">
        <v>103606.2</v>
      </c>
      <c r="G23" s="10" t="n">
        <v>103606.2</v>
      </c>
      <c r="H23" s="11">
        <f>F23-G23</f>
        <v/>
      </c>
      <c r="I23" s="9" t="inlineStr">
        <is>
          <t>отримано</t>
        </is>
      </c>
      <c r="J23" t="inlineStr">
        <is>
          <t>2026-05</t>
        </is>
      </c>
    </row>
    <row r="24">
      <c r="A24" s="8" t="n">
        <v>46170</v>
      </c>
      <c r="B24" s="9" t="n">
        <v>8188</v>
      </c>
      <c r="C24" s="9" t="inlineStr">
        <is>
          <t>Фундамент Ужгород Стефанія</t>
        </is>
      </c>
      <c r="D24" s="9" t="inlineStr">
        <is>
          <t>Александров</t>
        </is>
      </c>
      <c r="E24" s="9" t="inlineStr">
        <is>
          <t>Авансовий платіж</t>
        </is>
      </c>
      <c r="F24" s="10" t="n">
        <v>206200</v>
      </c>
      <c r="G24" s="10" t="n">
        <v>206200</v>
      </c>
      <c r="H24" s="11">
        <f>F24-G24</f>
        <v/>
      </c>
      <c r="I24" s="9" t="inlineStr">
        <is>
          <t>отримано</t>
        </is>
      </c>
      <c r="J24" t="inlineStr">
        <is>
          <t>2026-05</t>
        </is>
      </c>
    </row>
    <row r="25">
      <c r="A25" s="8" t="n">
        <v>46170</v>
      </c>
      <c r="B25" s="9" t="n">
        <v>8454</v>
      </c>
      <c r="C25" s="9" t="inlineStr">
        <is>
          <t>Олександр каркасний Верховина</t>
        </is>
      </c>
      <c r="D25" s="9" t="inlineStr">
        <is>
          <t>Донська</t>
        </is>
      </c>
      <c r="E25" s="9" t="inlineStr">
        <is>
          <t>Другий платіж</t>
        </is>
      </c>
      <c r="F25" s="10" t="n">
        <v>69666</v>
      </c>
      <c r="G25" s="10" t="n">
        <v>69666</v>
      </c>
      <c r="H25" s="11">
        <f>F25-G25</f>
        <v/>
      </c>
      <c r="I25" s="9" t="inlineStr">
        <is>
          <t>отримано</t>
        </is>
      </c>
      <c r="J25" t="inlineStr">
        <is>
          <t>2026-05</t>
        </is>
      </c>
    </row>
    <row r="26">
      <c r="A26" s="8" t="n">
        <v>46170</v>
      </c>
      <c r="B26" s="9" t="n">
        <v>8544</v>
      </c>
      <c r="C26" s="9" t="inlineStr">
        <is>
          <t>Isolar фланець Хмельницький</t>
        </is>
      </c>
      <c r="D26" s="9" t="inlineStr">
        <is>
          <t>Донська</t>
        </is>
      </c>
      <c r="E26" s="9" t="inlineStr">
        <is>
          <t>Авансовий платіж</t>
        </is>
      </c>
      <c r="F26" s="10" t="n">
        <v>261990</v>
      </c>
      <c r="G26" s="10" t="n">
        <v>261990</v>
      </c>
      <c r="H26" s="11">
        <f>F26-G26</f>
        <v/>
      </c>
      <c r="I26" s="9" t="inlineStr">
        <is>
          <t>отримано</t>
        </is>
      </c>
      <c r="J26" t="inlineStr">
        <is>
          <t>2026-05</t>
        </is>
      </c>
    </row>
    <row r="27">
      <c r="A27" s="8" t="n">
        <v>46175</v>
      </c>
      <c r="B27" s="9" t="n">
        <v>5682</v>
      </c>
      <c r="C27" s="9" t="inlineStr">
        <is>
          <t>А Сцена Корчин</t>
        </is>
      </c>
      <c r="D27" s="9" t="inlineStr">
        <is>
          <t>Іщук</t>
        </is>
      </c>
      <c r="E27" s="9" t="inlineStr">
        <is>
          <t>Авансовий платіж</t>
        </is>
      </c>
      <c r="F27" s="10" t="n">
        <v>87150</v>
      </c>
      <c r="G27" s="10" t="n">
        <v>87150</v>
      </c>
      <c r="H27" s="11">
        <f>F27-G27</f>
        <v/>
      </c>
      <c r="I27" s="9" t="inlineStr">
        <is>
          <t>отримано</t>
        </is>
      </c>
      <c r="J27" t="inlineStr">
        <is>
          <t>2026-06</t>
        </is>
      </c>
    </row>
    <row r="28">
      <c r="A28" s="8" t="n">
        <v>46175</v>
      </c>
      <c r="B28" s="9" t="n">
        <v>8185</v>
      </c>
      <c r="C28" s="9" t="inlineStr">
        <is>
          <t>Фундамент Hytte House Development Славське</t>
        </is>
      </c>
      <c r="D28" s="9" t="inlineStr">
        <is>
          <t>Донська</t>
        </is>
      </c>
      <c r="E28" s="9" t="inlineStr">
        <is>
          <t>Авансовий платіж</t>
        </is>
      </c>
      <c r="F28" s="10" t="n">
        <v>168024</v>
      </c>
      <c r="G28" s="10" t="n">
        <v>168024</v>
      </c>
      <c r="H28" s="11">
        <f>F28-G28</f>
        <v/>
      </c>
      <c r="I28" s="9" t="inlineStr">
        <is>
          <t>отримано</t>
        </is>
      </c>
      <c r="J28" t="inlineStr">
        <is>
          <t>2026-06</t>
        </is>
      </c>
    </row>
    <row r="29">
      <c r="A29" s="8" t="n">
        <v>46177</v>
      </c>
      <c r="B29" s="9" t="n">
        <v>7894</v>
      </c>
      <c r="C29" s="9" t="inlineStr">
        <is>
          <t>А Фора  SCP  32PS</t>
        </is>
      </c>
      <c r="D29" s="9" t="inlineStr">
        <is>
          <t>Донська</t>
        </is>
      </c>
      <c r="E29" s="9" t="inlineStr">
        <is>
          <t>Авансовий платіж</t>
        </is>
      </c>
      <c r="F29" s="10" t="n">
        <v>1487743.97</v>
      </c>
      <c r="G29" s="10" t="n">
        <v>1487743.97</v>
      </c>
      <c r="H29" s="11">
        <f>F29-G29</f>
        <v/>
      </c>
      <c r="I29" s="9" t="inlineStr">
        <is>
          <t>отримано</t>
        </is>
      </c>
      <c r="J29" t="inlineStr">
        <is>
          <t>2026-06</t>
        </is>
      </c>
    </row>
    <row r="30">
      <c r="A30" s="8" t="n">
        <v>46182</v>
      </c>
      <c r="B30" s="9" t="n">
        <v>8544</v>
      </c>
      <c r="C30" s="9" t="inlineStr">
        <is>
          <t>Isolar фланець Хмельницький</t>
        </is>
      </c>
      <c r="D30" s="9" t="inlineStr">
        <is>
          <t>Донська</t>
        </is>
      </c>
      <c r="E30" s="9" t="inlineStr">
        <is>
          <t>Другий платіж</t>
        </is>
      </c>
      <c r="F30" s="10" t="n">
        <v>7990.8</v>
      </c>
      <c r="G30" s="10" t="n">
        <v>7990.8</v>
      </c>
      <c r="H30" s="11">
        <f>F30-G30</f>
        <v/>
      </c>
      <c r="I30" s="9" t="inlineStr">
        <is>
          <t>отримано</t>
        </is>
      </c>
      <c r="J30" t="inlineStr">
        <is>
          <t>2026-06</t>
        </is>
      </c>
    </row>
    <row r="31">
      <c r="A31" s="8" t="n">
        <v>46183</v>
      </c>
      <c r="B31" s="9" t="n">
        <v>8140</v>
      </c>
      <c r="C31" s="9" t="inlineStr">
        <is>
          <t>В Газинвестпроект фундамент Киев</t>
        </is>
      </c>
      <c r="D31" s="9" t="inlineStr">
        <is>
          <t>Заянчковський</t>
        </is>
      </c>
      <c r="E31" s="9" t="inlineStr">
        <is>
          <t>Другий платіж</t>
        </is>
      </c>
      <c r="F31" s="10" t="n">
        <v>86041.2</v>
      </c>
      <c r="G31" s="10" t="n">
        <v>86041.2</v>
      </c>
      <c r="H31" s="11">
        <f>F31-G31</f>
        <v/>
      </c>
      <c r="I31" s="9" t="inlineStr">
        <is>
          <t>отримано</t>
        </is>
      </c>
      <c r="J31" t="inlineStr">
        <is>
          <t>2026-06</t>
        </is>
      </c>
    </row>
    <row r="32">
      <c r="A32" s="8" t="n">
        <v>46184</v>
      </c>
      <c r="B32" s="9" t="n">
        <v>3456</v>
      </c>
      <c r="C32" s="9" t="inlineStr">
        <is>
          <t>А Підселання фундаменту</t>
        </is>
      </c>
      <c r="D32" s="9" t="inlineStr">
        <is>
          <t>Донська</t>
        </is>
      </c>
      <c r="E32" s="9" t="inlineStr">
        <is>
          <t>Другий платіж</t>
        </is>
      </c>
      <c r="F32" s="10" t="n">
        <v>783940.92</v>
      </c>
      <c r="G32" s="10" t="n">
        <v>783940.92</v>
      </c>
      <c r="H32" s="11">
        <f>F32-G32</f>
        <v/>
      </c>
      <c r="I32" s="9" t="inlineStr">
        <is>
          <t>отримано</t>
        </is>
      </c>
      <c r="J32" t="inlineStr">
        <is>
          <t>2026-06</t>
        </is>
      </c>
    </row>
    <row r="33">
      <c r="A33" s="8" t="n">
        <v>46184</v>
      </c>
      <c r="B33" s="9" t="n">
        <v>8360</v>
      </c>
      <c r="C33" s="9" t="inlineStr">
        <is>
          <t>Хаджет Лебедівка</t>
        </is>
      </c>
      <c r="D33" s="9" t="inlineStr">
        <is>
          <t>Донська</t>
        </is>
      </c>
      <c r="E33" s="9" t="inlineStr">
        <is>
          <t>Другий платіж</t>
        </is>
      </c>
      <c r="F33" s="10" t="n">
        <v>95968.3</v>
      </c>
      <c r="G33" s="10" t="n">
        <v>95968.3</v>
      </c>
      <c r="H33" s="11">
        <f>F33-G33</f>
        <v/>
      </c>
      <c r="I33" s="9" t="inlineStr">
        <is>
          <t>отримано</t>
        </is>
      </c>
      <c r="J33" t="inlineStr">
        <is>
          <t>2026-06</t>
        </is>
      </c>
    </row>
    <row r="34">
      <c r="A34" s="8" t="n">
        <v>46185</v>
      </c>
      <c r="B34" s="9" t="n">
        <v>7474</v>
      </c>
      <c r="C34" s="9" t="inlineStr">
        <is>
          <t>А Головне управління Національної поліції в Одеській області  SCP  15PS</t>
        </is>
      </c>
      <c r="D34" s="9" t="inlineStr">
        <is>
          <t>Іщук</t>
        </is>
      </c>
      <c r="E34" s="9" t="inlineStr">
        <is>
          <t>П'ятий платіж</t>
        </is>
      </c>
      <c r="F34" s="10" t="n">
        <v>1749999</v>
      </c>
      <c r="G34" s="10" t="n">
        <v>1749999</v>
      </c>
      <c r="H34" s="11">
        <f>F34-G34</f>
        <v/>
      </c>
      <c r="I34" s="9" t="inlineStr">
        <is>
          <t>отримано</t>
        </is>
      </c>
      <c r="J34" t="inlineStr">
        <is>
          <t>2026-06</t>
        </is>
      </c>
    </row>
    <row r="35">
      <c r="A35" s="8" t="n">
        <v>46188</v>
      </c>
      <c r="B35" s="9" t="n">
        <v>6406</v>
      </c>
      <c r="C35" s="9" t="inlineStr">
        <is>
          <t>Максим Яловий Чинадієво</t>
        </is>
      </c>
      <c r="D35" s="9" t="inlineStr">
        <is>
          <t>Александров</t>
        </is>
      </c>
      <c r="E35" s="9" t="inlineStr">
        <is>
          <t>Авансовий платіж</t>
        </is>
      </c>
      <c r="F35" s="10" t="n">
        <v>154980</v>
      </c>
      <c r="G35" s="10" t="n">
        <v>154980</v>
      </c>
      <c r="H35" s="11">
        <f>F35-G35</f>
        <v/>
      </c>
      <c r="I35" s="9" t="inlineStr">
        <is>
          <t>отримано</t>
        </is>
      </c>
      <c r="J35" t="inlineStr">
        <is>
          <t>2026-06</t>
        </is>
      </c>
    </row>
    <row r="36">
      <c r="A36" s="8" t="n">
        <v>46189</v>
      </c>
      <c r="B36" s="9" t="n">
        <v>7002</v>
      </c>
      <c r="C36" s="9" t="inlineStr">
        <is>
          <t>А Фора  SCP W 24PS V1</t>
        </is>
      </c>
      <c r="D36" s="9" t="inlineStr">
        <is>
          <t>Донська</t>
        </is>
      </c>
      <c r="E36" s="9" t="inlineStr">
        <is>
          <t>Четвертий платіж</t>
        </is>
      </c>
      <c r="F36" s="10" t="n">
        <v>573945</v>
      </c>
      <c r="G36" s="10" t="n">
        <v>0</v>
      </c>
      <c r="H36" s="11">
        <f>F36-G36</f>
        <v/>
      </c>
      <c r="I36" s="9" t="inlineStr">
        <is>
          <t>прострочено</t>
        </is>
      </c>
      <c r="J36" t="inlineStr">
        <is>
          <t>2026-06</t>
        </is>
      </c>
    </row>
    <row r="37">
      <c r="A37" s="8" t="n">
        <v>46195</v>
      </c>
      <c r="B37" s="9" t="n">
        <v>8644</v>
      </c>
      <c r="C37" s="9" t="inlineStr">
        <is>
          <t>Solars ГШ 1,7+надставки 3,5</t>
        </is>
      </c>
      <c r="D37" s="9" t="inlineStr">
        <is>
          <t>Александров</t>
        </is>
      </c>
      <c r="E37" s="9" t="inlineStr">
        <is>
          <t>Авансовий платіж</t>
        </is>
      </c>
      <c r="F37" s="10" t="n">
        <v>415900</v>
      </c>
      <c r="G37" s="10" t="n">
        <v>415900</v>
      </c>
      <c r="H37" s="11">
        <f>F37-G37</f>
        <v/>
      </c>
      <c r="I37" s="9" t="inlineStr">
        <is>
          <t>отримано</t>
        </is>
      </c>
      <c r="J37" t="inlineStr">
        <is>
          <t>2026-06</t>
        </is>
      </c>
    </row>
    <row r="38">
      <c r="A38" s="8" t="n">
        <v>46196</v>
      </c>
      <c r="B38" s="9" t="n">
        <v>5682</v>
      </c>
      <c r="C38" s="9" t="inlineStr">
        <is>
          <t>А Сцена Корчин</t>
        </is>
      </c>
      <c r="D38" s="9" t="inlineStr">
        <is>
          <t>Іщук</t>
        </is>
      </c>
      <c r="E38" s="9" t="inlineStr">
        <is>
          <t>Другий платіж</t>
        </is>
      </c>
      <c r="F38" s="10" t="n">
        <v>369984.96</v>
      </c>
      <c r="G38" s="10" t="n">
        <v>369984.96</v>
      </c>
      <c r="H38" s="11">
        <f>F38-G38</f>
        <v/>
      </c>
      <c r="I38" s="9" t="inlineStr">
        <is>
          <t>отримано</t>
        </is>
      </c>
      <c r="J38" t="inlineStr">
        <is>
          <t>2026-06</t>
        </is>
      </c>
    </row>
    <row r="39">
      <c r="A39" s="8" t="n">
        <v>46197</v>
      </c>
      <c r="B39" s="9" t="n">
        <v>7068</v>
      </c>
      <c r="C39" s="9" t="inlineStr">
        <is>
          <t>А Remtec energy  AGM  160 TP</t>
        </is>
      </c>
      <c r="D39" s="9" t="inlineStr">
        <is>
          <t>Александров</t>
        </is>
      </c>
      <c r="E39" s="9" t="inlineStr">
        <is>
          <t>Другий платіж</t>
        </is>
      </c>
      <c r="F39" s="10" t="n">
        <v>0</v>
      </c>
      <c r="G39" s="10" t="n">
        <v>1153420</v>
      </c>
      <c r="H39" s="11">
        <f>F39-G39</f>
        <v/>
      </c>
      <c r="I39" s="9" t="inlineStr">
        <is>
          <t>очікується</t>
        </is>
      </c>
      <c r="J39" t="inlineStr">
        <is>
          <t>2026-06</t>
        </is>
      </c>
    </row>
    <row r="40">
      <c r="A40" s="8" t="n">
        <v>46197</v>
      </c>
      <c r="B40" s="9" t="n">
        <v>8360</v>
      </c>
      <c r="C40" s="9" t="inlineStr">
        <is>
          <t>Хаджет Лебедівка</t>
        </is>
      </c>
      <c r="D40" s="9" t="inlineStr">
        <is>
          <t>Донська</t>
        </is>
      </c>
      <c r="E40" s="9" t="inlineStr">
        <is>
          <t>Третій платіж</t>
        </is>
      </c>
      <c r="F40" s="10" t="n">
        <v>95968.3</v>
      </c>
      <c r="G40" s="10" t="n">
        <v>95968.3</v>
      </c>
      <c r="H40" s="11">
        <f>F40-G40</f>
        <v/>
      </c>
      <c r="I40" s="9" t="inlineStr">
        <is>
          <t>отримано</t>
        </is>
      </c>
      <c r="J40" t="inlineStr">
        <is>
          <t>2026-06</t>
        </is>
      </c>
    </row>
    <row r="41">
      <c r="A41" s="8" t="n">
        <v>46202</v>
      </c>
      <c r="B41" s="9" t="n">
        <v>6704</v>
      </c>
      <c r="C41" s="9" t="inlineStr">
        <is>
          <t>SCP Taurus 236PS</t>
        </is>
      </c>
      <c r="D41" s="9" t="inlineStr">
        <is>
          <t>Александров</t>
        </is>
      </c>
      <c r="E41" s="9" t="inlineStr">
        <is>
          <t>Другий платіж</t>
        </is>
      </c>
      <c r="F41" s="10" t="n">
        <v>6396000</v>
      </c>
      <c r="G41" s="10" t="n">
        <v>0</v>
      </c>
      <c r="H41" s="11">
        <f>F41-G41</f>
        <v/>
      </c>
      <c r="I41" s="9" t="inlineStr">
        <is>
          <t>прострочено</t>
        </is>
      </c>
      <c r="J41" t="inlineStr">
        <is>
          <t>2026-06</t>
        </is>
      </c>
    </row>
    <row r="42">
      <c r="A42" s="8" t="n">
        <v>46203</v>
      </c>
      <c r="B42" s="9" t="n">
        <v>5870</v>
      </c>
      <c r="C42" s="9" t="inlineStr">
        <is>
          <t>Carport Airport Munich</t>
        </is>
      </c>
      <c r="D42" s="9" t="inlineStr">
        <is>
          <t>Александров</t>
        </is>
      </c>
      <c r="E42" s="9" t="inlineStr">
        <is>
          <t>Другий платіж</t>
        </is>
      </c>
      <c r="F42" s="10" t="n">
        <v>7800000</v>
      </c>
      <c r="G42" s="10" t="n">
        <v>0</v>
      </c>
      <c r="H42" s="11">
        <f>F42-G42</f>
        <v/>
      </c>
      <c r="I42" s="9" t="inlineStr">
        <is>
          <t>прострочено</t>
        </is>
      </c>
      <c r="J42" t="inlineStr">
        <is>
          <t>2026-06</t>
        </is>
      </c>
    </row>
    <row r="43">
      <c r="A43" s="8" t="n">
        <v>46203</v>
      </c>
      <c r="B43" s="9" t="n">
        <v>8185</v>
      </c>
      <c r="C43" s="9" t="inlineStr">
        <is>
          <t>Фундамент Hytte House Development Славське</t>
        </is>
      </c>
      <c r="D43" s="9" t="inlineStr">
        <is>
          <t>Донська</t>
        </is>
      </c>
      <c r="E43" s="9" t="inlineStr">
        <is>
          <t>Другий платіж</t>
        </is>
      </c>
      <c r="F43" s="10" t="n">
        <v>63313.4</v>
      </c>
      <c r="G43" s="10" t="n">
        <v>0</v>
      </c>
      <c r="H43" s="11">
        <f>F43-G43</f>
        <v/>
      </c>
      <c r="I43" s="9" t="inlineStr">
        <is>
          <t>прострочено</t>
        </is>
      </c>
      <c r="J43" t="inlineStr">
        <is>
          <t>2026-06</t>
        </is>
      </c>
    </row>
    <row r="44">
      <c r="A44" s="8" t="n">
        <v>46204</v>
      </c>
      <c r="B44" s="9" t="n">
        <v>4766</v>
      </c>
      <c r="C44" s="9" t="inlineStr">
        <is>
          <t>ALTECO Carport Model Taurus 280кВт</t>
        </is>
      </c>
      <c r="D44" s="9" t="inlineStr">
        <is>
          <t>Заянчковський</t>
        </is>
      </c>
      <c r="E44" s="9" t="inlineStr">
        <is>
          <t>Авансовий платіж</t>
        </is>
      </c>
      <c r="F44" s="10" t="n">
        <v>120000</v>
      </c>
      <c r="G44" s="10" t="n">
        <v>20000</v>
      </c>
      <c r="H44" s="11">
        <f>F44-G44</f>
        <v/>
      </c>
      <c r="I44" s="9" t="inlineStr">
        <is>
          <t>очікується</t>
        </is>
      </c>
      <c r="J44" t="inlineStr">
        <is>
          <t>2026-07</t>
        </is>
      </c>
    </row>
    <row r="45">
      <c r="A45" s="8" t="n">
        <v>46204</v>
      </c>
      <c r="B45" s="9" t="n">
        <v>5910</v>
      </c>
      <c r="C45" s="9" t="inlineStr">
        <is>
          <t>А   AGM 2V</t>
        </is>
      </c>
      <c r="D45" s="9" t="inlineStr">
        <is>
          <t>Донська</t>
        </is>
      </c>
      <c r="E45" s="9" t="inlineStr">
        <is>
          <t>Авансовий платіж</t>
        </is>
      </c>
      <c r="F45" s="10" t="n">
        <v>10136835.8</v>
      </c>
      <c r="G45" s="10" t="n">
        <v>0</v>
      </c>
      <c r="H45" s="11">
        <f>F45-G45</f>
        <v/>
      </c>
      <c r="I45" s="9" t="inlineStr">
        <is>
          <t>очікується</t>
        </is>
      </c>
      <c r="J45" t="inlineStr">
        <is>
          <t>2026-07</t>
        </is>
      </c>
    </row>
    <row r="46">
      <c r="A46" s="8" t="n">
        <v>46206</v>
      </c>
      <c r="B46" s="9" t="n">
        <v>7244</v>
      </c>
      <c r="C46" s="9" t="inlineStr">
        <is>
          <t>В Модулекс модульна будівля Чернігів</t>
        </is>
      </c>
      <c r="D46" s="9" t="inlineStr">
        <is>
          <t>Заянчковський</t>
        </is>
      </c>
      <c r="E46" s="9" t="inlineStr">
        <is>
          <t>П'ятий платіж</t>
        </is>
      </c>
      <c r="F46" s="10" t="n">
        <v>132708.6</v>
      </c>
      <c r="G46" s="10" t="n">
        <v>0</v>
      </c>
      <c r="H46" s="11">
        <f>F46-G46</f>
        <v/>
      </c>
      <c r="I46" s="9" t="inlineStr">
        <is>
          <t>очікується</t>
        </is>
      </c>
      <c r="J46" t="inlineStr">
        <is>
          <t>2026-07</t>
        </is>
      </c>
    </row>
    <row r="47">
      <c r="A47" s="8" t="n">
        <v>46209</v>
      </c>
      <c r="B47" s="9" t="n">
        <v>8188</v>
      </c>
      <c r="C47" s="9" t="inlineStr">
        <is>
          <t>Фундамент Ужгород Стефанія</t>
        </is>
      </c>
      <c r="D47" s="9" t="inlineStr">
        <is>
          <t>Александров</t>
        </is>
      </c>
      <c r="E47" s="9" t="inlineStr">
        <is>
          <t>Другий платіж</t>
        </is>
      </c>
      <c r="F47" s="10" t="n">
        <v>73926</v>
      </c>
      <c r="G47" s="10" t="n">
        <v>0</v>
      </c>
      <c r="H47" s="11">
        <f>F47-G47</f>
        <v/>
      </c>
      <c r="I47" s="9" t="inlineStr">
        <is>
          <t>очікується</t>
        </is>
      </c>
      <c r="J47" t="inlineStr">
        <is>
          <t>2026-07</t>
        </is>
      </c>
    </row>
    <row r="48">
      <c r="A48" s="8" t="n">
        <v>46210</v>
      </c>
      <c r="B48" s="9" t="n">
        <v>7002</v>
      </c>
      <c r="C48" s="9" t="inlineStr">
        <is>
          <t>А Фора  SCP W 24PS V1</t>
        </is>
      </c>
      <c r="D48" s="9" t="inlineStr">
        <is>
          <t>Донська</t>
        </is>
      </c>
      <c r="E48" s="9" t="inlineStr">
        <is>
          <t>Другий платіж</t>
        </is>
      </c>
      <c r="F48" s="10" t="n">
        <v>126896.64</v>
      </c>
      <c r="G48" s="10" t="n">
        <v>0</v>
      </c>
      <c r="H48" s="11">
        <f>F48-G48</f>
        <v/>
      </c>
      <c r="I48" s="9" t="inlineStr">
        <is>
          <t>очікується</t>
        </is>
      </c>
      <c r="J48" t="inlineStr">
        <is>
          <t>2026-07</t>
        </is>
      </c>
    </row>
    <row r="49">
      <c r="A49" s="8" t="n">
        <v>46211</v>
      </c>
      <c r="B49" s="9" t="n">
        <v>7002</v>
      </c>
      <c r="C49" s="9" t="inlineStr">
        <is>
          <t>А Фора  SCP W 24PS V1</t>
        </is>
      </c>
      <c r="D49" s="9" t="inlineStr">
        <is>
          <t>Донська</t>
        </is>
      </c>
      <c r="E49" s="9" t="inlineStr">
        <is>
          <t>Третій платіж</t>
        </is>
      </c>
      <c r="F49" s="10" t="n">
        <v>126896.64</v>
      </c>
      <c r="G49" s="10" t="n">
        <v>0</v>
      </c>
      <c r="H49" s="11">
        <f>F49-G49</f>
        <v/>
      </c>
      <c r="I49" s="9" t="inlineStr">
        <is>
          <t>очікується</t>
        </is>
      </c>
      <c r="J49" t="inlineStr">
        <is>
          <t>2026-07</t>
        </is>
      </c>
    </row>
    <row r="50">
      <c r="A50" s="8" t="n">
        <v>46211</v>
      </c>
      <c r="B50" s="9" t="n">
        <v>8185</v>
      </c>
      <c r="C50" s="9" t="inlineStr">
        <is>
          <t>Фундамент Hytte House Development Славське</t>
        </is>
      </c>
      <c r="D50" s="9" t="inlineStr">
        <is>
          <t>Донська</t>
        </is>
      </c>
      <c r="E50" s="9" t="inlineStr">
        <is>
          <t>Третій платіж</t>
        </is>
      </c>
      <c r="F50" s="10" t="n">
        <v>63313.4</v>
      </c>
      <c r="G50" s="10" t="n">
        <v>0</v>
      </c>
      <c r="H50" s="11">
        <f>F50-G50</f>
        <v/>
      </c>
      <c r="I50" s="9" t="inlineStr">
        <is>
          <t>очікується</t>
        </is>
      </c>
      <c r="J50" t="inlineStr">
        <is>
          <t>2026-07</t>
        </is>
      </c>
    </row>
    <row r="51">
      <c r="A51" s="8" t="n">
        <v>46212</v>
      </c>
      <c r="B51" s="9" t="n">
        <v>6406</v>
      </c>
      <c r="C51" s="9" t="inlineStr">
        <is>
          <t>Максим Яловий Чинадієво</t>
        </is>
      </c>
      <c r="D51" s="9" t="inlineStr">
        <is>
          <t>Александров</t>
        </is>
      </c>
      <c r="E51" s="9" t="inlineStr">
        <is>
          <t>Другий платіж</t>
        </is>
      </c>
      <c r="F51" s="10" t="n">
        <v>218602</v>
      </c>
      <c r="G51" s="10" t="n">
        <v>0</v>
      </c>
      <c r="H51" s="11">
        <f>F51-G51</f>
        <v/>
      </c>
      <c r="I51" s="9" t="inlineStr">
        <is>
          <t>очікується</t>
        </is>
      </c>
      <c r="J51" t="inlineStr">
        <is>
          <t>2026-07</t>
        </is>
      </c>
    </row>
    <row r="52">
      <c r="A52" s="8" t="n">
        <v>46225</v>
      </c>
      <c r="B52" s="9" t="n">
        <v>3456</v>
      </c>
      <c r="C52" s="9" t="inlineStr">
        <is>
          <t>А Підселання фундаменту</t>
        </is>
      </c>
      <c r="D52" s="9" t="inlineStr">
        <is>
          <t>Донська</t>
        </is>
      </c>
      <c r="E52" s="9" t="inlineStr">
        <is>
          <t>Третій платіж</t>
        </is>
      </c>
      <c r="F52" s="10" t="n">
        <v>335974.68</v>
      </c>
      <c r="G52" s="10" t="n">
        <v>0</v>
      </c>
      <c r="H52" s="11">
        <f>F52-G52</f>
        <v/>
      </c>
      <c r="I52" s="9" t="inlineStr">
        <is>
          <t>очікується</t>
        </is>
      </c>
      <c r="J52" t="inlineStr">
        <is>
          <t>2026-07</t>
        </is>
      </c>
    </row>
    <row r="53">
      <c r="A53" s="8" t="n">
        <v>46225</v>
      </c>
      <c r="B53" s="9" t="n">
        <v>8008</v>
      </c>
      <c r="C53" s="9" t="inlineStr">
        <is>
          <t>Модулі Григорівка</t>
        </is>
      </c>
      <c r="D53" s="9" t="inlineStr">
        <is>
          <t>Донська</t>
        </is>
      </c>
      <c r="E53" s="9" t="inlineStr">
        <is>
          <t>Другий платіж</t>
        </is>
      </c>
      <c r="F53" s="10" t="n">
        <v>178088.4</v>
      </c>
      <c r="G53" s="10" t="n">
        <v>178088.4</v>
      </c>
      <c r="H53" s="11">
        <f>F53-G53</f>
        <v/>
      </c>
      <c r="I53" s="9" t="inlineStr">
        <is>
          <t>отримано</t>
        </is>
      </c>
      <c r="J53" t="inlineStr">
        <is>
          <t>2026-07</t>
        </is>
      </c>
    </row>
    <row r="54">
      <c r="A54" s="8" t="n">
        <v>46228</v>
      </c>
      <c r="B54" s="9" t="n">
        <v>5910</v>
      </c>
      <c r="C54" s="9" t="inlineStr">
        <is>
          <t>А   AGM 2V</t>
        </is>
      </c>
      <c r="D54" s="9" t="inlineStr">
        <is>
          <t>Донська</t>
        </is>
      </c>
      <c r="E54" s="9" t="inlineStr">
        <is>
          <t>Другий платіж</t>
        </is>
      </c>
      <c r="F54" s="10" t="n">
        <v>15929313.4</v>
      </c>
      <c r="G54" s="10" t="n">
        <v>0</v>
      </c>
      <c r="H54" s="11">
        <f>F54-G54</f>
        <v/>
      </c>
      <c r="I54" s="9" t="inlineStr">
        <is>
          <t>очікується</t>
        </is>
      </c>
      <c r="J54" t="inlineStr">
        <is>
          <t>2026-07</t>
        </is>
      </c>
    </row>
    <row r="55">
      <c r="A55" s="8" t="n">
        <v>46231</v>
      </c>
      <c r="B55" s="9" t="n">
        <v>7894</v>
      </c>
      <c r="C55" s="9" t="inlineStr">
        <is>
          <t>А Фора  SCP  32PS</t>
        </is>
      </c>
      <c r="D55" s="9" t="inlineStr">
        <is>
          <t>Донська</t>
        </is>
      </c>
      <c r="E55" s="9" t="inlineStr">
        <is>
          <t>Четвертий платіж</t>
        </is>
      </c>
      <c r="F55" s="10" t="n">
        <v>737597.4</v>
      </c>
      <c r="G55" s="10" t="n">
        <v>0</v>
      </c>
      <c r="H55" s="11">
        <f>F55-G55</f>
        <v/>
      </c>
      <c r="I55" s="9" t="inlineStr">
        <is>
          <t>очікується</t>
        </is>
      </c>
      <c r="J55" t="inlineStr">
        <is>
          <t>2026-07</t>
        </is>
      </c>
    </row>
    <row r="56">
      <c r="A56" s="8" t="n">
        <v>46233</v>
      </c>
      <c r="B56" s="9" t="n">
        <v>8008</v>
      </c>
      <c r="C56" s="9" t="inlineStr">
        <is>
          <t>Модулі Григорівка</t>
        </is>
      </c>
      <c r="D56" s="9" t="inlineStr">
        <is>
          <t>Донська</t>
        </is>
      </c>
      <c r="E56" s="9" t="inlineStr">
        <is>
          <t>Третій платіж</t>
        </is>
      </c>
      <c r="F56" s="10" t="n">
        <v>178088.4</v>
      </c>
      <c r="G56" s="10" t="n">
        <v>0</v>
      </c>
      <c r="H56" s="11">
        <f>F56-G56</f>
        <v/>
      </c>
      <c r="I56" s="9" t="inlineStr">
        <is>
          <t>очікується</t>
        </is>
      </c>
      <c r="J56" t="inlineStr">
        <is>
          <t>2026-07</t>
        </is>
      </c>
    </row>
    <row r="57">
      <c r="A57" s="8" t="n">
        <v>46234</v>
      </c>
      <c r="B57" s="9" t="n">
        <v>7894</v>
      </c>
      <c r="C57" s="9" t="inlineStr">
        <is>
          <t>А Фора  SCP  32PS</t>
        </is>
      </c>
      <c r="D57" s="9" t="inlineStr">
        <is>
          <t>Донська</t>
        </is>
      </c>
      <c r="E57" s="9" t="inlineStr">
        <is>
          <t>Другий платіж</t>
        </is>
      </c>
      <c r="F57" s="10" t="n">
        <v>185968</v>
      </c>
      <c r="G57" s="10" t="n">
        <v>0</v>
      </c>
      <c r="H57" s="11">
        <f>F57-G57</f>
        <v/>
      </c>
      <c r="I57" s="9" t="inlineStr">
        <is>
          <t>очікується</t>
        </is>
      </c>
      <c r="J57" t="inlineStr">
        <is>
          <t>2026-07</t>
        </is>
      </c>
    </row>
    <row r="58">
      <c r="A58" s="8" t="n">
        <v>46245</v>
      </c>
      <c r="B58" s="9" t="n">
        <v>7894</v>
      </c>
      <c r="C58" s="9" t="inlineStr">
        <is>
          <t>А Фора  SCP  32PS</t>
        </is>
      </c>
      <c r="D58" s="9" t="inlineStr">
        <is>
          <t>Донська</t>
        </is>
      </c>
      <c r="E58" s="9" t="inlineStr">
        <is>
          <t>Третій платіж</t>
        </is>
      </c>
      <c r="F58" s="10" t="n">
        <v>185967.99</v>
      </c>
      <c r="G58" s="10" t="n">
        <v>0</v>
      </c>
      <c r="H58" s="11">
        <f>F58-G58</f>
        <v/>
      </c>
      <c r="I58" s="9" t="inlineStr">
        <is>
          <t>очікується</t>
        </is>
      </c>
      <c r="J58" t="inlineStr">
        <is>
          <t>2026-08</t>
        </is>
      </c>
    </row>
    <row r="59">
      <c r="A59" s="8" t="n">
        <v>46260</v>
      </c>
      <c r="B59" s="9" t="n">
        <v>5910</v>
      </c>
      <c r="C59" s="9" t="inlineStr">
        <is>
          <t>А   AGM 2V</t>
        </is>
      </c>
      <c r="D59" s="9" t="inlineStr">
        <is>
          <t>Донська</t>
        </is>
      </c>
      <c r="E59" s="9" t="inlineStr">
        <is>
          <t>Третій платіж</t>
        </is>
      </c>
      <c r="F59" s="10" t="n">
        <v>2896238.8</v>
      </c>
      <c r="G59" s="10" t="n">
        <v>0</v>
      </c>
      <c r="H59" s="11">
        <f>F59-G59</f>
        <v/>
      </c>
      <c r="I59" s="9" t="inlineStr">
        <is>
          <t>очікується</t>
        </is>
      </c>
      <c r="J59" t="inlineStr">
        <is>
          <t>2026-08</t>
        </is>
      </c>
    </row>
    <row r="60">
      <c r="A60" s="8" t="n">
        <v>46260</v>
      </c>
      <c r="B60" s="9" t="n">
        <v>7002</v>
      </c>
      <c r="C60" s="9" t="inlineStr">
        <is>
          <t>А Фора  SCP W 24PS V1</t>
        </is>
      </c>
      <c r="D60" s="9" t="inlineStr">
        <is>
          <t>Донська</t>
        </is>
      </c>
      <c r="E60" s="9" t="inlineStr">
        <is>
          <t>П'ятий платіж</t>
        </is>
      </c>
      <c r="F60" s="10" t="n">
        <v>573945</v>
      </c>
      <c r="G60" s="10" t="n">
        <v>0</v>
      </c>
      <c r="H60" s="11">
        <f>F60-G60</f>
        <v/>
      </c>
      <c r="I60" s="9" t="inlineStr">
        <is>
          <t>очікується</t>
        </is>
      </c>
      <c r="J60" t="inlineStr">
        <is>
          <t>2026-08</t>
        </is>
      </c>
    </row>
    <row r="61">
      <c r="A61" s="8" t="n">
        <v>46282</v>
      </c>
      <c r="B61" s="9" t="n">
        <v>7894</v>
      </c>
      <c r="C61" s="9" t="inlineStr">
        <is>
          <t>А Фора  SCP  32PS</t>
        </is>
      </c>
      <c r="D61" s="9" t="inlineStr">
        <is>
          <t>Донська</t>
        </is>
      </c>
      <c r="E61" s="9" t="inlineStr">
        <is>
          <t>П'ятий платіж</t>
        </is>
      </c>
      <c r="F61" s="10" t="n">
        <v>737597.4</v>
      </c>
      <c r="G61" s="10" t="n">
        <v>0</v>
      </c>
      <c r="H61" s="11">
        <f>F61-G61</f>
        <v/>
      </c>
      <c r="I61" s="9" t="inlineStr">
        <is>
          <t>очікується</t>
        </is>
      </c>
      <c r="J61" t="inlineStr">
        <is>
          <t>2026-09</t>
        </is>
      </c>
    </row>
    <row r="62">
      <c r="A62" s="8" t="n">
        <v>46286</v>
      </c>
      <c r="B62" s="9" t="n">
        <v>4766</v>
      </c>
      <c r="C62" s="9" t="inlineStr">
        <is>
          <t>ALTECO Carport Model Taurus 280кВт</t>
        </is>
      </c>
      <c r="D62" s="9" t="inlineStr">
        <is>
          <t>Заянчковський</t>
        </is>
      </c>
      <c r="E62" s="9" t="inlineStr">
        <is>
          <t>П'ятий платіж</t>
        </is>
      </c>
      <c r="F62" s="10" t="n">
        <v>4880000</v>
      </c>
      <c r="G62" s="10" t="n">
        <v>0</v>
      </c>
      <c r="H62" s="11">
        <f>F62-G62</f>
        <v/>
      </c>
      <c r="I62" s="9" t="inlineStr">
        <is>
          <t>очікується</t>
        </is>
      </c>
      <c r="J62" t="inlineStr">
        <is>
          <t>2026-09</t>
        </is>
      </c>
    </row>
    <row r="63">
      <c r="E63" s="3" t="inlineStr">
        <is>
          <t>Разом</t>
        </is>
      </c>
      <c r="F63" s="12">
        <f>SUM(F2:F62)</f>
        <v/>
      </c>
      <c r="G63" s="12">
        <f>SUM(G2:G62)</f>
        <v/>
      </c>
      <c r="H63" s="12">
        <f>SUM(H2:H62)</f>
        <v/>
      </c>
    </row>
  </sheetData>
  <autoFilter ref="A1:I6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5" customWidth="1" min="2" max="2"/>
    <col width="15" customWidth="1" min="3" max="3"/>
    <col width="15" customWidth="1" min="4" max="4"/>
    <col width="12" customWidth="1" min="5" max="5"/>
  </cols>
  <sheetData>
    <row r="1">
      <c r="A1" s="7" t="inlineStr">
        <is>
          <t>Місяць</t>
        </is>
      </c>
      <c r="B1" s="7" t="inlineStr">
        <is>
          <t>План, ₴</t>
        </is>
      </c>
      <c r="C1" s="7" t="inlineStr">
        <is>
          <t>Факт, ₴</t>
        </is>
      </c>
      <c r="D1" s="7" t="inlineStr">
        <is>
          <t>Різниця, ₴</t>
        </is>
      </c>
      <c r="E1" s="7" t="inlineStr">
        <is>
          <t>% отримано</t>
        </is>
      </c>
    </row>
    <row r="2">
      <c r="A2" s="9" t="inlineStr">
        <is>
          <t>кві 2026</t>
        </is>
      </c>
      <c r="B2" s="11">
        <f>SUMIF('Графік надходжень'!J:J,"2026-04",'Графік надходжень'!F:F)</f>
        <v/>
      </c>
      <c r="C2" s="11">
        <f>SUMIF('Графік надходжень'!J:J,"2026-04",'Графік надходжень'!G:G)</f>
        <v/>
      </c>
      <c r="D2" s="11">
        <f>B2-C2</f>
        <v/>
      </c>
      <c r="E2" s="13">
        <f>IF(B2=0,0,C2/B2)</f>
        <v/>
      </c>
    </row>
    <row r="3">
      <c r="A3" s="9" t="inlineStr">
        <is>
          <t>тра 2026</t>
        </is>
      </c>
      <c r="B3" s="11">
        <f>SUMIF('Графік надходжень'!J:J,"2026-05",'Графік надходжень'!F:F)</f>
        <v/>
      </c>
      <c r="C3" s="11">
        <f>SUMIF('Графік надходжень'!J:J,"2026-05",'Графік надходжень'!G:G)</f>
        <v/>
      </c>
      <c r="D3" s="11">
        <f>B3-C3</f>
        <v/>
      </c>
      <c r="E3" s="13">
        <f>IF(B3=0,0,C3/B3)</f>
        <v/>
      </c>
    </row>
    <row r="4">
      <c r="A4" s="9" t="inlineStr">
        <is>
          <t>чер 2026</t>
        </is>
      </c>
      <c r="B4" s="11">
        <f>SUMIF('Графік надходжень'!J:J,"2026-06",'Графік надходжень'!F:F)</f>
        <v/>
      </c>
      <c r="C4" s="11">
        <f>SUMIF('Графік надходжень'!J:J,"2026-06",'Графік надходжень'!G:G)</f>
        <v/>
      </c>
      <c r="D4" s="11">
        <f>B4-C4</f>
        <v/>
      </c>
      <c r="E4" s="13">
        <f>IF(B4=0,0,C4/B4)</f>
        <v/>
      </c>
    </row>
    <row r="5">
      <c r="A5" s="9" t="inlineStr">
        <is>
          <t>лип 2026</t>
        </is>
      </c>
      <c r="B5" s="11">
        <f>SUMIF('Графік надходжень'!J:J,"2026-07",'Графік надходжень'!F:F)</f>
        <v/>
      </c>
      <c r="C5" s="11">
        <f>SUMIF('Графік надходжень'!J:J,"2026-07",'Графік надходжень'!G:G)</f>
        <v/>
      </c>
      <c r="D5" s="11">
        <f>B5-C5</f>
        <v/>
      </c>
      <c r="E5" s="13">
        <f>IF(B5=0,0,C5/B5)</f>
        <v/>
      </c>
    </row>
    <row r="6">
      <c r="A6" s="9" t="inlineStr">
        <is>
          <t>сер 2026</t>
        </is>
      </c>
      <c r="B6" s="11">
        <f>SUMIF('Графік надходжень'!J:J,"2026-08",'Графік надходжень'!F:F)</f>
        <v/>
      </c>
      <c r="C6" s="11">
        <f>SUMIF('Графік надходжень'!J:J,"2026-08",'Графік надходжень'!G:G)</f>
        <v/>
      </c>
      <c r="D6" s="11">
        <f>B6-C6</f>
        <v/>
      </c>
      <c r="E6" s="13">
        <f>IF(B6=0,0,C6/B6)</f>
        <v/>
      </c>
    </row>
    <row r="7">
      <c r="A7" s="9" t="inlineStr">
        <is>
          <t>вер 2026</t>
        </is>
      </c>
      <c r="B7" s="11">
        <f>SUMIF('Графік надходжень'!J:J,"2026-09",'Графік надходжень'!F:F)</f>
        <v/>
      </c>
      <c r="C7" s="11">
        <f>SUMIF('Графік надходжень'!J:J,"2026-09",'Графік надходжень'!G:G)</f>
        <v/>
      </c>
      <c r="D7" s="11">
        <f>B7-C7</f>
        <v/>
      </c>
      <c r="E7" s="13">
        <f>IF(B7=0,0,C7/B7)</f>
        <v/>
      </c>
    </row>
    <row r="8">
      <c r="A8" s="3" t="inlineStr">
        <is>
          <t>Разом</t>
        </is>
      </c>
      <c r="B8" s="12">
        <f>SUM(B2:B7)</f>
        <v/>
      </c>
      <c r="C8" s="12">
        <f>SUM(C2:C7)</f>
        <v/>
      </c>
      <c r="D8" s="12">
        <f>SUM(D2:D7)</f>
        <v/>
      </c>
      <c r="E8" s="14">
        <f>IF(B8=0,0,C8/B8)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30" customWidth="1" min="3" max="3"/>
    <col width="18" customWidth="1" min="4" max="4"/>
    <col width="15" customWidth="1" min="5" max="5"/>
    <col width="15" customWidth="1" min="6" max="6"/>
    <col width="15" customWidth="1" min="7" max="7"/>
  </cols>
  <sheetData>
    <row r="1">
      <c r="A1" s="7" t="inlineStr">
        <is>
          <t>Планова дата</t>
        </is>
      </c>
      <c r="B1" s="7" t="inlineStr">
        <is>
          <t>№ проєкту</t>
        </is>
      </c>
      <c r="C1" s="7" t="inlineStr">
        <is>
          <t>Проєкт</t>
        </is>
      </c>
      <c r="D1" s="7" t="inlineStr">
        <is>
          <t>Платіж</t>
        </is>
      </c>
      <c r="E1" s="7" t="inlineStr">
        <is>
          <t>План, ₴</t>
        </is>
      </c>
      <c r="F1" s="7" t="inlineStr">
        <is>
          <t>Факт, ₴</t>
        </is>
      </c>
      <c r="G1" s="7" t="inlineStr">
        <is>
          <t>Борг, ₴</t>
        </is>
      </c>
    </row>
    <row r="2">
      <c r="A2" s="8" t="n">
        <v>46203</v>
      </c>
      <c r="B2" s="9" t="n">
        <v>5870</v>
      </c>
      <c r="C2" s="9" t="inlineStr">
        <is>
          <t>Carport Airport Munich</t>
        </is>
      </c>
      <c r="D2" s="9" t="inlineStr">
        <is>
          <t>Другий платіж</t>
        </is>
      </c>
      <c r="E2" s="11" t="n">
        <v>7800000</v>
      </c>
      <c r="F2" s="11" t="n">
        <v>0</v>
      </c>
      <c r="G2" s="11">
        <f>E2-F2</f>
        <v/>
      </c>
    </row>
    <row r="3">
      <c r="A3" s="8" t="n">
        <v>46202</v>
      </c>
      <c r="B3" s="9" t="n">
        <v>6704</v>
      </c>
      <c r="C3" s="9" t="inlineStr">
        <is>
          <t>SCP Taurus 236PS</t>
        </is>
      </c>
      <c r="D3" s="9" t="inlineStr">
        <is>
          <t>Другий платіж</t>
        </is>
      </c>
      <c r="E3" s="11" t="n">
        <v>6396000</v>
      </c>
      <c r="F3" s="11" t="n">
        <v>0</v>
      </c>
      <c r="G3" s="11">
        <f>E3-F3</f>
        <v/>
      </c>
    </row>
    <row r="4">
      <c r="A4" s="8" t="n">
        <v>46113</v>
      </c>
      <c r="B4" s="9" t="n">
        <v>7068</v>
      </c>
      <c r="C4" s="9" t="inlineStr">
        <is>
          <t>А Remtec energy  AGM  160 TP</t>
        </is>
      </c>
      <c r="D4" s="9" t="inlineStr">
        <is>
          <t>Авансовий платіж</t>
        </is>
      </c>
      <c r="E4" s="11" t="n">
        <v>5640128</v>
      </c>
      <c r="F4" s="11" t="n">
        <v>1692038</v>
      </c>
      <c r="G4" s="11">
        <f>E4-F4</f>
        <v/>
      </c>
    </row>
    <row r="5">
      <c r="A5" s="8" t="n">
        <v>46189</v>
      </c>
      <c r="B5" s="9" t="n">
        <v>7002</v>
      </c>
      <c r="C5" s="9" t="inlineStr">
        <is>
          <t>А Фора  SCP W 24PS V1</t>
        </is>
      </c>
      <c r="D5" s="9" t="inlineStr">
        <is>
          <t>Четвертий платіж</t>
        </is>
      </c>
      <c r="E5" s="11" t="n">
        <v>573945</v>
      </c>
      <c r="F5" s="11" t="n">
        <v>0</v>
      </c>
      <c r="G5" s="11">
        <f>E5-F5</f>
        <v/>
      </c>
    </row>
    <row r="6">
      <c r="A6" s="8" t="n">
        <v>46203</v>
      </c>
      <c r="B6" s="9" t="n">
        <v>8185</v>
      </c>
      <c r="C6" s="9" t="inlineStr">
        <is>
          <t>Фундамент Hytte House Development Славське</t>
        </is>
      </c>
      <c r="D6" s="9" t="inlineStr">
        <is>
          <t>Другий платіж</t>
        </is>
      </c>
      <c r="E6" s="11" t="n">
        <v>63313.4</v>
      </c>
      <c r="F6" s="11" t="n">
        <v>0</v>
      </c>
      <c r="G6" s="11">
        <f>E6-F6</f>
        <v/>
      </c>
    </row>
    <row r="7">
      <c r="D7" s="3" t="inlineStr">
        <is>
          <t>Разом</t>
        </is>
      </c>
      <c r="E7" s="12">
        <f>SUM(E2:E6)</f>
        <v/>
      </c>
      <c r="F7" s="12">
        <f>SUM(F2:F6)</f>
        <v/>
      </c>
      <c r="G7" s="12">
        <f>SUM(G2:G6)</f>
        <v/>
      </c>
    </row>
  </sheetData>
  <autoFilter ref="A1:G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2026-06-30T06:24:34Z</dcterms:created>
  <dcterms:modified xmlns:dcterms="http://purl.org/dc/terms/" xmlns:xsi="http://www.w3.org/2001/XMLSchema-instance" xsi:type="dcterms:W3CDTF">2026-06-30T06:24:34Z</dcterms:modified>
</cp:coreProperties>
</file>