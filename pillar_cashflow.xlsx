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надходжень'!$A$1:$I$84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21.08.2026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2606500</v>
      </c>
      <c r="G10" s="10" t="n">
        <v>2606500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5213000</v>
      </c>
      <c r="G11" s="10" t="n">
        <v>5213000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1876680</v>
      </c>
      <c r="G39" s="10" t="n">
        <v>1876680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458744</v>
      </c>
      <c r="G44" s="10" t="n">
        <v>458744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8710401.700000001</v>
      </c>
      <c r="G54" s="10" t="n">
        <v>8710401.700000001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4102631</v>
      </c>
      <c r="G57" s="10" t="n">
        <v>4102631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4990144.25</v>
      </c>
      <c r="G64" s="10" t="n">
        <v>4990144.25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46241</v>
      </c>
      <c r="B65" s="9" t="n">
        <v>5870</v>
      </c>
      <c r="C65" s="9" t="inlineStr">
        <is>
          <t>Carport Airport Munich</t>
        </is>
      </c>
      <c r="D65" s="9" t="inlineStr">
        <is>
          <t>Хома</t>
        </is>
      </c>
      <c r="E65" s="9" t="inlineStr">
        <is>
          <t>Третій платіж</t>
        </is>
      </c>
      <c r="F65" s="10" t="n">
        <v>759794.75</v>
      </c>
      <c r="G65" s="10" t="n">
        <v>759794.75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>
        <is>
          <t>€14 575</t>
        </is>
      </c>
    </row>
    <row r="66">
      <c r="A66" s="8" t="n">
        <v>46255</v>
      </c>
      <c r="B66" s="9" t="n">
        <v>8878</v>
      </c>
      <c r="C66" s="9" t="inlineStr">
        <is>
          <t>А ТОВ КОМПАНІЯ ВОЛЬТ СЕРВІС ГРУП</t>
        </is>
      </c>
      <c r="D66" s="9" t="inlineStr">
        <is>
          <t>Заянчковський</t>
        </is>
      </c>
      <c r="E66" s="9" t="inlineStr">
        <is>
          <t>П'ятий платіж</t>
        </is>
      </c>
      <c r="F66" s="10" t="n">
        <v>12823</v>
      </c>
      <c r="G66" s="10" t="n">
        <v>0</v>
      </c>
      <c r="H66" s="11">
        <f>F66-G66</f>
        <v/>
      </c>
      <c r="I66" s="9" t="inlineStr">
        <is>
          <t>прострочено</t>
        </is>
      </c>
      <c r="J66" t="inlineStr">
        <is>
          <t>2026-08</t>
        </is>
      </c>
      <c r="K66" s="12" t="inlineStr"/>
    </row>
    <row r="67">
      <c r="A67" s="8" t="n">
        <v>46255</v>
      </c>
      <c r="B67" s="9" t="n">
        <v>8898</v>
      </c>
      <c r="C67" s="9" t="inlineStr">
        <is>
          <t>Григорівка №3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188043.75</v>
      </c>
      <c r="G67" s="10" t="n">
        <v>0</v>
      </c>
      <c r="H67" s="11">
        <f>F67-G67</f>
        <v/>
      </c>
      <c r="I67" s="9" t="inlineStr">
        <is>
          <t>прострочено</t>
        </is>
      </c>
      <c r="J67" t="inlineStr">
        <is>
          <t>2026-08</t>
        </is>
      </c>
      <c r="K67" s="12" t="inlineStr"/>
    </row>
    <row r="68">
      <c r="A68" s="8" t="n">
        <v>46258</v>
      </c>
      <c r="B68" s="9" t="n">
        <v>3456</v>
      </c>
      <c r="C68" s="9" t="inlineStr">
        <is>
          <t>А Підселання фундаменту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335974.68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46258</v>
      </c>
      <c r="B69" s="9" t="n">
        <v>6352</v>
      </c>
      <c r="C69" s="9" t="inlineStr">
        <is>
          <t>АБМК SCP Blade 8PS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1119237.26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46259</v>
      </c>
      <c r="B70" s="9" t="n">
        <v>6406</v>
      </c>
      <c r="C70" s="9" t="inlineStr">
        <is>
          <t>Максим Яловий Чинадієво</t>
        </is>
      </c>
      <c r="D70" s="9" t="inlineStr">
        <is>
          <t>Іщук</t>
        </is>
      </c>
      <c r="E70" s="9" t="inlineStr">
        <is>
          <t>Другий платіж</t>
        </is>
      </c>
      <c r="F70" s="10" t="n">
        <v>218602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46261</v>
      </c>
      <c r="B71" s="9" t="n">
        <v>5910</v>
      </c>
      <c r="C71" s="9" t="inlineStr">
        <is>
          <t>SGM Brdovec, Хорватия</t>
        </is>
      </c>
      <c r="D71" s="9" t="inlineStr">
        <is>
          <t>Донська</t>
        </is>
      </c>
      <c r="E71" s="9" t="inlineStr">
        <is>
          <t>Другий платіж 60%</t>
        </is>
      </c>
      <c r="F71" s="10" t="n">
        <v>17420855.53</v>
      </c>
      <c r="G71" s="10" t="n">
        <v>2993304.6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>
        <is>
          <t>€334 181</t>
        </is>
      </c>
    </row>
    <row r="72">
      <c r="A72" s="8" t="n">
        <v>46262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46264</v>
      </c>
      <c r="B74" s="9" t="n">
        <v>5870</v>
      </c>
      <c r="C74" s="9" t="inlineStr">
        <is>
          <t>Carport Airport Munich</t>
        </is>
      </c>
      <c r="D74" s="9" t="inlineStr">
        <is>
          <t>Хома</t>
        </is>
      </c>
      <c r="E74" s="9" t="inlineStr">
        <is>
          <t>Четвертий платіж</t>
        </is>
      </c>
      <c r="F74" s="10" t="n">
        <v>912275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€17 500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46280</v>
      </c>
      <c r="B79" s="9" t="n">
        <v>8898</v>
      </c>
      <c r="C79" s="9" t="inlineStr">
        <is>
          <t>Григорівка №3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188043.75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46283</v>
      </c>
      <c r="B80" s="9" t="n">
        <v>7508</v>
      </c>
      <c r="C80" s="9" t="inlineStr">
        <is>
          <t>8602 Євген Весільна тераса Подорожнє</t>
        </is>
      </c>
      <c r="D80" s="9" t="inlineStr">
        <is>
          <t>Заянчковський</t>
        </is>
      </c>
      <c r="E80" s="9" t="inlineStr">
        <is>
          <t>Третій платіж</t>
        </is>
      </c>
      <c r="F80" s="10" t="n">
        <v>750999.9399999999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46297</v>
      </c>
      <c r="B81" s="9" t="n">
        <v>7894</v>
      </c>
      <c r="C81" s="9" t="inlineStr">
        <is>
          <t>SCP Фора  Хотів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737597.4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2026-10</t>
        </is>
      </c>
      <c r="K81" s="12" t="inlineStr"/>
    </row>
    <row r="82">
      <c r="A82" s="8" t="n">
        <v>46300</v>
      </c>
      <c r="B82" s="9" t="n">
        <v>5910</v>
      </c>
      <c r="C82" s="9" t="inlineStr">
        <is>
          <t>SGM Brdovec, Хорватия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2903328.22</v>
      </c>
      <c r="G82" s="10" t="n">
        <v>249442.05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>
        <is>
          <t>€55 694</t>
        </is>
      </c>
    </row>
    <row r="83">
      <c r="A83" s="8" t="n">
        <v>46308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Четвертий платіж</t>
        </is>
      </c>
      <c r="F83" s="10" t="n">
        <v>371982.96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A84" s="8" t="n">
        <v>46321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П'ятий платіж</t>
        </is>
      </c>
      <c r="F84" s="10" t="n">
        <v>651792.28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E85" s="3" t="inlineStr">
        <is>
          <t>Разом</t>
        </is>
      </c>
      <c r="F85" s="13">
        <f>SUM(F2:F84)</f>
        <v/>
      </c>
      <c r="G85" s="13">
        <f>SUM(G2:G84)</f>
        <v/>
      </c>
      <c r="H85" s="13">
        <f>SUM(H2:H84)</f>
        <v/>
      </c>
    </row>
  </sheetData>
  <autoFilter ref="A1:I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46255</v>
      </c>
      <c r="B2" s="9" t="n">
        <v>8898</v>
      </c>
      <c r="C2" s="9" t="inlineStr">
        <is>
          <t>Григорівка №3</t>
        </is>
      </c>
      <c r="D2" s="9" t="inlineStr">
        <is>
          <t>Другий платіж</t>
        </is>
      </c>
      <c r="E2" s="11" t="n">
        <v>188043.75</v>
      </c>
      <c r="F2" s="11" t="n">
        <v>0</v>
      </c>
      <c r="G2" s="11">
        <f>E2-F2</f>
        <v/>
      </c>
    </row>
    <row r="3">
      <c r="A3" s="8" t="n">
        <v>46255</v>
      </c>
      <c r="B3" s="9" t="n">
        <v>8878</v>
      </c>
      <c r="C3" s="9" t="inlineStr">
        <is>
          <t>А ТОВ КОМПАНІЯ ВОЛЬТ СЕРВІС ГРУП</t>
        </is>
      </c>
      <c r="D3" s="9" t="inlineStr">
        <is>
          <t>П'ятий платіж</t>
        </is>
      </c>
      <c r="E3" s="11" t="n">
        <v>12823</v>
      </c>
      <c r="F3" s="11" t="n">
        <v>0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2026-08-21T03:47:24Z</dcterms:created>
  <dcterms:modified xmlns:dcterms="http://purl.org/dc/terms/" xmlns:xsi="http://www.w3.org/2001/XMLSchema-instance" xsi:type="dcterms:W3CDTF">2026-08-21T03:47:24Z</dcterms:modified>
</cp:coreProperties>
</file>