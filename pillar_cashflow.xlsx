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надходжень'!$A$1:$I$68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16.07.2026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1872000</v>
      </c>
      <c r="G42" s="10" t="n">
        <v>1872000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/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/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449328</v>
      </c>
      <c r="G49" s="10" t="n">
        <v>449328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46217</v>
      </c>
      <c r="B50" s="9" t="n">
        <v>4766</v>
      </c>
      <c r="C50" s="9" t="inlineStr">
        <is>
          <t>ALTECO Carport Model Taurus 280кВт</t>
        </is>
      </c>
      <c r="D50" s="9" t="inlineStr">
        <is>
          <t>Заянчковський</t>
        </is>
      </c>
      <c r="E50" s="9" t="inlineStr">
        <is>
          <t>Другий платіж</t>
        </is>
      </c>
      <c r="F50" s="10" t="n">
        <v>100000</v>
      </c>
      <c r="G50" s="10" t="n">
        <v>100000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8185</v>
      </c>
      <c r="C51" s="9" t="inlineStr">
        <is>
          <t>Фундамент Hytte House Development Славське</t>
        </is>
      </c>
      <c r="D51" s="9" t="inlineStr">
        <is>
          <t>Донська</t>
        </is>
      </c>
      <c r="E51" s="9" t="inlineStr">
        <is>
          <t>Другий платіж</t>
        </is>
      </c>
      <c r="F51" s="10" t="n">
        <v>63313.4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63313.4</v>
      </c>
      <c r="G52" s="10" t="n">
        <v>0</v>
      </c>
      <c r="H52" s="11">
        <f>F52-G52</f>
        <v/>
      </c>
      <c r="I52" s="9" t="inlineStr">
        <is>
          <t>прострочено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А Фора  SCP W 24PS V1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126896.64</v>
      </c>
      <c r="G53" s="10" t="n">
        <v>126896.64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573945</v>
      </c>
      <c r="G55" s="10" t="n">
        <v>573945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46220</v>
      </c>
      <c r="B56" s="9" t="n">
        <v>5910</v>
      </c>
      <c r="C56" s="9" t="inlineStr">
        <is>
          <t>А   AGM 2V</t>
        </is>
      </c>
      <c r="D56" s="9" t="inlineStr">
        <is>
          <t>Донська</t>
        </is>
      </c>
      <c r="E56" s="9" t="inlineStr">
        <is>
          <t>Авансовий платіж</t>
        </is>
      </c>
      <c r="F56" s="10" t="n">
        <v>8531651.142000001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  <c r="K56" s="12" t="inlineStr">
        <is>
          <t>€167 091</t>
        </is>
      </c>
    </row>
    <row r="57">
      <c r="A57" s="8" t="n">
        <v>46225</v>
      </c>
      <c r="B57" s="9" t="n">
        <v>3456</v>
      </c>
      <c r="C57" s="9" t="inlineStr">
        <is>
          <t>А Підселання фундаменту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335974.68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  <c r="K57" s="12" t="inlineStr"/>
    </row>
    <row r="58">
      <c r="A58" s="8" t="n">
        <v>46231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Четвертий платіж</t>
        </is>
      </c>
      <c r="F58" s="10" t="n">
        <v>737597.4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  <c r="K58" s="12" t="inlineStr"/>
    </row>
    <row r="59">
      <c r="A59" s="8" t="n">
        <v>46232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Другий платіж</t>
        </is>
      </c>
      <c r="F59" s="10" t="n">
        <v>17063302.284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>
        <is>
          <t>€334 181</t>
        </is>
      </c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7244</v>
      </c>
      <c r="C61" s="9" t="inlineStr">
        <is>
          <t>В Модулекс модульна будівля Чернігів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132708.6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185968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8878</v>
      </c>
      <c r="C63" s="9" t="inlineStr">
        <is>
          <t>А ТОВ КОМПАНІЯ ВОЛЬТ СЕРВІС ГРУП</t>
        </is>
      </c>
      <c r="D63" s="9" t="inlineStr">
        <is>
          <t>Заянчковський</t>
        </is>
      </c>
      <c r="E63" s="9" t="inlineStr">
        <is>
          <t>П'ятий платіж</t>
        </is>
      </c>
      <c r="F63" s="10" t="n">
        <v>12823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46245</v>
      </c>
      <c r="B64" s="9" t="n">
        <v>7894</v>
      </c>
      <c r="C64" s="9" t="inlineStr">
        <is>
          <t>А Фора  SCP  32PS</t>
        </is>
      </c>
      <c r="D64" s="9" t="inlineStr">
        <is>
          <t>Донська</t>
        </is>
      </c>
      <c r="E64" s="9" t="inlineStr">
        <is>
          <t>Третій платіж</t>
        </is>
      </c>
      <c r="F64" s="10" t="n">
        <v>185967.99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46260</v>
      </c>
      <c r="B65" s="9" t="n">
        <v>7002</v>
      </c>
      <c r="C65" s="9" t="inlineStr">
        <is>
          <t>А Фора  SCP W 24PS V1</t>
        </is>
      </c>
      <c r="D65" s="9" t="inlineStr">
        <is>
          <t>Донська</t>
        </is>
      </c>
      <c r="E65" s="9" t="inlineStr">
        <is>
          <t>П'ятий платіж</t>
        </is>
      </c>
      <c r="F65" s="10" t="n">
        <v>573945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46264</v>
      </c>
      <c r="B66" s="9" t="n">
        <v>5910</v>
      </c>
      <c r="C66" s="9" t="inlineStr">
        <is>
          <t>А   AGM 2V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2843883.714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>
        <is>
          <t>€55 697</t>
        </is>
      </c>
    </row>
    <row r="67">
      <c r="A67" s="8" t="n">
        <v>46267</v>
      </c>
      <c r="B67" s="9" t="n">
        <v>4766</v>
      </c>
      <c r="C67" s="9" t="inlineStr">
        <is>
          <t>ALTECO Carport Model Taurus 280кВт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1199397.42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  <c r="K67" s="12" t="inlineStr"/>
    </row>
    <row r="68">
      <c r="A68" s="8" t="n">
        <v>46282</v>
      </c>
      <c r="B68" s="9" t="n">
        <v>7894</v>
      </c>
      <c r="C68" s="9" t="inlineStr">
        <is>
          <t>А Фора  SCP  32PS</t>
        </is>
      </c>
      <c r="D68" s="9" t="inlineStr">
        <is>
          <t>Донська</t>
        </is>
      </c>
      <c r="E68" s="9" t="inlineStr">
        <is>
          <t>П'ятий платіж</t>
        </is>
      </c>
      <c r="F68" s="10" t="n">
        <v>737597.4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E69" s="3" t="inlineStr">
        <is>
          <t>Разом</t>
        </is>
      </c>
      <c r="F69" s="13">
        <f>SUM(F2:F68)</f>
        <v/>
      </c>
      <c r="G69" s="13">
        <f>SUM(G2:G68)</f>
        <v/>
      </c>
      <c r="H69" s="13">
        <f>SUM(H2:H68)</f>
        <v/>
      </c>
    </row>
  </sheetData>
  <autoFilter ref="A1:I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4524000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46212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0</v>
      </c>
      <c r="G5" s="11">
        <f>E5-F5</f>
        <v/>
      </c>
    </row>
    <row r="6">
      <c r="A6" s="8" t="n">
        <v>46213</v>
      </c>
      <c r="B6" s="9" t="n">
        <v>8188</v>
      </c>
      <c r="C6" s="9" t="inlineStr">
        <is>
          <t>Фундамент Ужгород Стефанія</t>
        </is>
      </c>
      <c r="D6" s="9" t="inlineStr">
        <is>
          <t>Другий платіж</t>
        </is>
      </c>
      <c r="E6" s="11" t="n">
        <v>73926</v>
      </c>
      <c r="F6" s="11" t="n">
        <v>0</v>
      </c>
      <c r="G6" s="11">
        <f>E6-F6</f>
        <v/>
      </c>
    </row>
    <row r="7">
      <c r="A7" s="8" t="n">
        <v>46217</v>
      </c>
      <c r="B7" s="9" t="n">
        <v>8185</v>
      </c>
      <c r="C7" s="9" t="inlineStr">
        <is>
          <t>Фундамент Hytte House Development Славське</t>
        </is>
      </c>
      <c r="D7" s="9" t="inlineStr">
        <is>
          <t>Другий платіж</t>
        </is>
      </c>
      <c r="E7" s="11" t="n">
        <v>63313.4</v>
      </c>
      <c r="F7" s="11" t="n">
        <v>0</v>
      </c>
      <c r="G7" s="11">
        <f>E7-F7</f>
        <v/>
      </c>
    </row>
    <row r="8">
      <c r="A8" s="8" t="n">
        <v>46217</v>
      </c>
      <c r="B8" s="9" t="n">
        <v>8185</v>
      </c>
      <c r="C8" s="9" t="inlineStr">
        <is>
          <t>Фундамент Hytte House Development Славське</t>
        </is>
      </c>
      <c r="D8" s="9" t="inlineStr">
        <is>
          <t>Третій платіж</t>
        </is>
      </c>
      <c r="E8" s="11" t="n">
        <v>63313.4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2026-07-16T19:54:39Z</dcterms:created>
  <dcterms:modified xmlns:dcterms="http://purl.org/dc/terms/" xmlns:xsi="http://www.w3.org/2001/XMLSchema-instance" xsi:type="dcterms:W3CDTF">2026-07-16T19:54:39Z</dcterms:modified>
</cp:coreProperties>
</file>