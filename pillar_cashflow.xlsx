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надходжень'!$A$1:$I$85</definedName>
    <definedName name="_xlnm._FilterDatabase" localSheetId="3" hidden="1">'Прострочені'!$A$1:$G$2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24.08.2026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2612000</v>
      </c>
      <c r="G10" s="10" t="n">
        <v>2612000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5224000</v>
      </c>
      <c r="G11" s="10" t="n">
        <v>5224000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1880640</v>
      </c>
      <c r="G39" s="10" t="n">
        <v>1880640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459712</v>
      </c>
      <c r="G44" s="10" t="n">
        <v>459712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8728781.6</v>
      </c>
      <c r="G54" s="10" t="n">
        <v>8728781.6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4111288</v>
      </c>
      <c r="G57" s="10" t="n">
        <v>4111288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6130</v>
      </c>
      <c r="C60" s="9" t="inlineStr">
        <is>
          <t>-26 ГШ Фундамент домобудування Євро Простір Марія</t>
        </is>
      </c>
      <c r="D60" s="9" t="inlineStr">
        <is>
          <t>Заянчковський</t>
        </is>
      </c>
      <c r="E60" s="9" t="inlineStr">
        <is>
          <t>Четвертий платіж</t>
        </is>
      </c>
      <c r="F60" s="10" t="n">
        <v>36665</v>
      </c>
      <c r="G60" s="10" t="n">
        <v>36665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6352</v>
      </c>
      <c r="C61" s="9" t="inlineStr">
        <is>
          <t>АБМК SCP Blade 8PS</t>
        </is>
      </c>
      <c r="D61" s="9" t="inlineStr">
        <is>
          <t>Донська</t>
        </is>
      </c>
      <c r="E61" s="9" t="inlineStr">
        <is>
          <t>Другий платіж</t>
        </is>
      </c>
      <c r="F61" s="10" t="n">
        <v>1399046.58</v>
      </c>
      <c r="G61" s="10" t="n">
        <v>1399046.58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46238</v>
      </c>
      <c r="B62" s="9" t="n">
        <v>4766</v>
      </c>
      <c r="C62" s="9" t="inlineStr">
        <is>
          <t>ALTECO Carport Model Taurus 280кВт</t>
        </is>
      </c>
      <c r="D62" s="9" t="inlineStr">
        <is>
          <t>Заянчковський</t>
        </is>
      </c>
      <c r="E62" s="9" t="inlineStr">
        <is>
          <t>Четвертий платіж</t>
        </is>
      </c>
      <c r="F62" s="10" t="n">
        <v>64050</v>
      </c>
      <c r="G62" s="10" t="n">
        <v>64050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8188</v>
      </c>
      <c r="C63" s="9" t="inlineStr">
        <is>
          <t>Фундамент Ужгород Стефанія</t>
        </is>
      </c>
      <c r="D63" s="9" t="inlineStr">
        <is>
          <t>Іщук</t>
        </is>
      </c>
      <c r="E63" s="9" t="inlineStr">
        <is>
          <t>Другий платіж</t>
        </is>
      </c>
      <c r="F63" s="10" t="n">
        <v>73926</v>
      </c>
      <c r="G63" s="10" t="n">
        <v>75926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46240</v>
      </c>
      <c r="B64" s="9" t="n">
        <v>5870</v>
      </c>
      <c r="C64" s="9" t="inlineStr">
        <is>
          <t>Carport Airport Munich</t>
        </is>
      </c>
      <c r="D64" s="9" t="inlineStr">
        <is>
          <t>Хома</t>
        </is>
      </c>
      <c r="E64" s="9" t="inlineStr">
        <is>
          <t>Другий платіж</t>
        </is>
      </c>
      <c r="F64" s="10" t="n">
        <v>5000674</v>
      </c>
      <c r="G64" s="10" t="n">
        <v>5000674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>
        <is>
          <t>€95 725</t>
        </is>
      </c>
    </row>
    <row r="65">
      <c r="A65" s="8" t="n">
        <v>46241</v>
      </c>
      <c r="B65" s="9" t="n">
        <v>5870</v>
      </c>
      <c r="C65" s="9" t="inlineStr">
        <is>
          <t>Carport Airport Munich</t>
        </is>
      </c>
      <c r="D65" s="9" t="inlineStr">
        <is>
          <t>Хома</t>
        </is>
      </c>
      <c r="E65" s="9" t="inlineStr">
        <is>
          <t>Третій платіж</t>
        </is>
      </c>
      <c r="F65" s="10" t="n">
        <v>761398</v>
      </c>
      <c r="G65" s="10" t="n">
        <v>761398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>
        <is>
          <t>€14 575</t>
        </is>
      </c>
    </row>
    <row r="66">
      <c r="A66" s="8" t="n">
        <v>46255</v>
      </c>
      <c r="B66" s="9" t="n">
        <v>7894</v>
      </c>
      <c r="C66" s="9" t="inlineStr">
        <is>
          <t>SCP Фора  Хотів</t>
        </is>
      </c>
      <c r="D66" s="9" t="inlineStr">
        <is>
          <t>Донська</t>
        </is>
      </c>
      <c r="E66" s="9" t="inlineStr">
        <is>
          <t>Другий платіж</t>
        </is>
      </c>
      <c r="F66" s="10" t="n">
        <v>185968</v>
      </c>
      <c r="G66" s="10" t="n">
        <v>185968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/>
    </row>
    <row r="67">
      <c r="A67" s="8" t="n">
        <v>46255</v>
      </c>
      <c r="B67" s="9" t="n">
        <v>7894</v>
      </c>
      <c r="C67" s="9" t="inlineStr">
        <is>
          <t>SCP Фора  Хотів</t>
        </is>
      </c>
      <c r="D67" s="9" t="inlineStr">
        <is>
          <t>Донська</t>
        </is>
      </c>
      <c r="E67" s="9" t="inlineStr">
        <is>
          <t>Третій платіж</t>
        </is>
      </c>
      <c r="F67" s="10" t="n">
        <v>185967.99</v>
      </c>
      <c r="G67" s="10" t="n">
        <v>185967.99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/>
    </row>
    <row r="68">
      <c r="A68" s="8" t="n">
        <v>46255</v>
      </c>
      <c r="B68" s="9" t="n">
        <v>7894</v>
      </c>
      <c r="C68" s="9" t="inlineStr">
        <is>
          <t>SCP Фора  Хотів</t>
        </is>
      </c>
      <c r="D68" s="9" t="inlineStr">
        <is>
          <t>Донська</t>
        </is>
      </c>
      <c r="E68" s="9" t="inlineStr">
        <is>
          <t>Четвертий платіж</t>
        </is>
      </c>
      <c r="F68" s="10" t="n">
        <v>737597.4</v>
      </c>
      <c r="G68" s="10" t="n">
        <v>737597.4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46255</v>
      </c>
      <c r="B69" s="9" t="n">
        <v>8898</v>
      </c>
      <c r="C69" s="9" t="inlineStr">
        <is>
          <t>Григорівка №3</t>
        </is>
      </c>
      <c r="D69" s="9" t="inlineStr">
        <is>
          <t>Донська</t>
        </is>
      </c>
      <c r="E69" s="9" t="inlineStr">
        <is>
          <t>Другий платіж</t>
        </is>
      </c>
      <c r="F69" s="10" t="n">
        <v>188043.75</v>
      </c>
      <c r="G69" s="10" t="n">
        <v>188043.75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/>
    </row>
    <row r="70">
      <c r="A70" s="8" t="n">
        <v>46258</v>
      </c>
      <c r="B70" s="9" t="n">
        <v>3456</v>
      </c>
      <c r="C70" s="9" t="inlineStr">
        <is>
          <t>А Підселання фундаменту</t>
        </is>
      </c>
      <c r="D70" s="9" t="inlineStr">
        <is>
          <t>Донська</t>
        </is>
      </c>
      <c r="E70" s="9" t="inlineStr">
        <is>
          <t>Третій платіж</t>
        </is>
      </c>
      <c r="F70" s="10" t="n">
        <v>335974.68</v>
      </c>
      <c r="G70" s="10" t="n">
        <v>0</v>
      </c>
      <c r="H70" s="11">
        <f>F70-G70</f>
        <v/>
      </c>
      <c r="I70" s="9" t="inlineStr">
        <is>
          <t>прострочено</t>
        </is>
      </c>
      <c r="J70" t="inlineStr">
        <is>
          <t>2026-08</t>
        </is>
      </c>
      <c r="K70" s="12" t="inlineStr"/>
    </row>
    <row r="71">
      <c r="A71" s="8" t="n">
        <v>46259</v>
      </c>
      <c r="B71" s="9" t="n">
        <v>6406</v>
      </c>
      <c r="C71" s="9" t="inlineStr">
        <is>
          <t>Максим Яловий Чинадієво</t>
        </is>
      </c>
      <c r="D71" s="9" t="inlineStr">
        <is>
          <t>Іщук</t>
        </is>
      </c>
      <c r="E71" s="9" t="inlineStr">
        <is>
          <t>Другий платіж</t>
        </is>
      </c>
      <c r="F71" s="10" t="n">
        <v>218602</v>
      </c>
      <c r="G71" s="10" t="n">
        <v>0</v>
      </c>
      <c r="H71" s="11">
        <f>F71-G71</f>
        <v/>
      </c>
      <c r="I71" s="9" t="inlineStr">
        <is>
          <t>очікується</t>
        </is>
      </c>
      <c r="J71" t="inlineStr">
        <is>
          <t>2026-08</t>
        </is>
      </c>
      <c r="K71" s="12" t="inlineStr"/>
    </row>
    <row r="72">
      <c r="A72" s="8" t="n">
        <v>46263</v>
      </c>
      <c r="B72" s="9" t="n">
        <v>5910</v>
      </c>
      <c r="C72" s="9" t="inlineStr">
        <is>
          <t>SGM Brdovec, Хорватия</t>
        </is>
      </c>
      <c r="D72" s="9" t="inlineStr">
        <is>
          <t>Донська</t>
        </is>
      </c>
      <c r="E72" s="9" t="inlineStr">
        <is>
          <t>Другий платіж 60%</t>
        </is>
      </c>
      <c r="F72" s="10" t="n">
        <v>17457615.44</v>
      </c>
      <c r="G72" s="10" t="n">
        <v>2999620.8</v>
      </c>
      <c r="H72" s="11">
        <f>F72-G72</f>
        <v/>
      </c>
      <c r="I72" s="9" t="inlineStr">
        <is>
          <t>очікується</t>
        </is>
      </c>
      <c r="J72" t="inlineStr">
        <is>
          <t>2026-08</t>
        </is>
      </c>
      <c r="K72" s="12" t="inlineStr">
        <is>
          <t>€334 181</t>
        </is>
      </c>
    </row>
    <row r="73">
      <c r="A73" s="8" t="n">
        <v>46264</v>
      </c>
      <c r="B73" s="9" t="n">
        <v>5870</v>
      </c>
      <c r="C73" s="9" t="inlineStr">
        <is>
          <t>Carport Airport Munich</t>
        </is>
      </c>
      <c r="D73" s="9" t="inlineStr">
        <is>
          <t>Хома</t>
        </is>
      </c>
      <c r="E73" s="9" t="inlineStr">
        <is>
          <t>Четвертий платіж</t>
        </is>
      </c>
      <c r="F73" s="10" t="n">
        <v>914200</v>
      </c>
      <c r="G73" s="10" t="n">
        <v>0</v>
      </c>
      <c r="H73" s="11">
        <f>F73-G73</f>
        <v/>
      </c>
      <c r="I73" s="9" t="inlineStr">
        <is>
          <t>очікується</t>
        </is>
      </c>
      <c r="J73" t="inlineStr">
        <is>
          <t>2026-08</t>
        </is>
      </c>
      <c r="K73" s="12" t="inlineStr">
        <is>
          <t>€17 500</t>
        </is>
      </c>
    </row>
    <row r="74">
      <c r="A74" s="8" t="n">
        <v>46265</v>
      </c>
      <c r="B74" s="9" t="n">
        <v>6130</v>
      </c>
      <c r="C74" s="9" t="inlineStr">
        <is>
          <t>-26 ГШ Фундамент домобудування Євро Простір Марія</t>
        </is>
      </c>
      <c r="D74" s="9" t="inlineStr">
        <is>
          <t>Заянчковський</t>
        </is>
      </c>
      <c r="E74" s="9" t="inlineStr">
        <is>
          <t>П'ятий платіж</t>
        </is>
      </c>
      <c r="F74" s="10" t="n">
        <v>73335</v>
      </c>
      <c r="G74" s="10" t="n">
        <v>36665</v>
      </c>
      <c r="H74" s="11">
        <f>F74-G74</f>
        <v/>
      </c>
      <c r="I74" s="9" t="inlineStr">
        <is>
          <t>очікується</t>
        </is>
      </c>
      <c r="J74" t="inlineStr">
        <is>
          <t>2026-08</t>
        </is>
      </c>
      <c r="K74" s="12" t="inlineStr"/>
    </row>
    <row r="75">
      <c r="A75" s="8" t="n">
        <v>46265</v>
      </c>
      <c r="B75" s="9" t="n">
        <v>7244</v>
      </c>
      <c r="C75" s="9" t="inlineStr">
        <is>
          <t>В Модулекс модульна будівля Чернігів</t>
        </is>
      </c>
      <c r="D75" s="9" t="inlineStr">
        <is>
          <t>Заянчковський</t>
        </is>
      </c>
      <c r="E75" s="9" t="inlineStr">
        <is>
          <t>П'ятий платіж</t>
        </is>
      </c>
      <c r="F75" s="10" t="n">
        <v>132708.6</v>
      </c>
      <c r="G75" s="10" t="n">
        <v>0</v>
      </c>
      <c r="H75" s="11">
        <f>F75-G75</f>
        <v/>
      </c>
      <c r="I75" s="9" t="inlineStr">
        <is>
          <t>очікується</t>
        </is>
      </c>
      <c r="J75" t="inlineStr">
        <is>
          <t>2026-08</t>
        </is>
      </c>
      <c r="K75" s="12" t="inlineStr"/>
    </row>
    <row r="76">
      <c r="A76" s="8" t="n">
        <v>46265</v>
      </c>
      <c r="B76" s="9" t="n">
        <v>8878</v>
      </c>
      <c r="C76" s="9" t="inlineStr">
        <is>
          <t>А ТОВ КОМПАНІЯ ВОЛЬТ СЕРВІС ГРУП</t>
        </is>
      </c>
      <c r="D76" s="9" t="inlineStr">
        <is>
          <t>Заянчковський</t>
        </is>
      </c>
      <c r="E76" s="9" t="inlineStr">
        <is>
          <t>П'ятий платіж</t>
        </is>
      </c>
      <c r="F76" s="10" t="n">
        <v>12823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2026-08</t>
        </is>
      </c>
      <c r="K76" s="12" t="inlineStr"/>
    </row>
    <row r="77">
      <c r="A77" s="8" t="n">
        <v>46267</v>
      </c>
      <c r="B77" s="9" t="n">
        <v>4766</v>
      </c>
      <c r="C77" s="9" t="inlineStr">
        <is>
          <t>ALTECO Carport Model Taurus 280кВт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1263447.42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2026-09</t>
        </is>
      </c>
      <c r="K77" s="12" t="inlineStr"/>
    </row>
    <row r="78">
      <c r="A78" s="8" t="n">
        <v>46272</v>
      </c>
      <c r="B78" s="9" t="n">
        <v>6352</v>
      </c>
      <c r="C78" s="9" t="inlineStr">
        <is>
          <t>АБМК SCP Blade 8PS</t>
        </is>
      </c>
      <c r="D78" s="9" t="inlineStr">
        <is>
          <t>Донська</t>
        </is>
      </c>
      <c r="E78" s="9" t="inlineStr">
        <is>
          <t>Третій платіж</t>
        </is>
      </c>
      <c r="F78" s="10" t="n">
        <v>1119237.26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/>
    </row>
    <row r="79">
      <c r="A79" s="8" t="n">
        <v>46273</v>
      </c>
      <c r="B79" s="9" t="n">
        <v>7002</v>
      </c>
      <c r="C79" s="9" t="inlineStr">
        <is>
          <t>Фора SCP Млиново</t>
        </is>
      </c>
      <c r="D79" s="9" t="inlineStr">
        <is>
          <t>Донська</t>
        </is>
      </c>
      <c r="E79" s="9" t="inlineStr">
        <is>
          <t>П'ятий платіж</t>
        </is>
      </c>
      <c r="F79" s="10" t="n">
        <v>573945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/>
    </row>
    <row r="80">
      <c r="A80" s="8" t="n">
        <v>46280</v>
      </c>
      <c r="B80" s="9" t="n">
        <v>8898</v>
      </c>
      <c r="C80" s="9" t="inlineStr">
        <is>
          <t>Григорівка №3</t>
        </is>
      </c>
      <c r="D80" s="9" t="inlineStr">
        <is>
          <t>Донська</t>
        </is>
      </c>
      <c r="E80" s="9" t="inlineStr">
        <is>
          <t>Третій платіж</t>
        </is>
      </c>
      <c r="F80" s="10" t="n">
        <v>188043.75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/>
    </row>
    <row r="81">
      <c r="A81" s="8" t="n">
        <v>46283</v>
      </c>
      <c r="B81" s="9" t="n">
        <v>7508</v>
      </c>
      <c r="C81" s="9" t="inlineStr">
        <is>
          <t>8602 Євген Весільна тераса Подорожнє</t>
        </is>
      </c>
      <c r="D81" s="9" t="inlineStr">
        <is>
          <t>Заянчковський</t>
        </is>
      </c>
      <c r="E81" s="9" t="inlineStr">
        <is>
          <t>Третій платіж</t>
        </is>
      </c>
      <c r="F81" s="10" t="n">
        <v>750999.9399999999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2026-09</t>
        </is>
      </c>
      <c r="K81" s="12" t="inlineStr"/>
    </row>
    <row r="82">
      <c r="A82" s="8" t="n">
        <v>46298</v>
      </c>
      <c r="B82" s="9" t="n">
        <v>7894</v>
      </c>
      <c r="C82" s="9" t="inlineStr">
        <is>
          <t>SCP Фора  Хотів</t>
        </is>
      </c>
      <c r="D82" s="9" t="inlineStr">
        <is>
          <t>Донська</t>
        </is>
      </c>
      <c r="E82" s="9" t="inlineStr">
        <is>
          <t>П'ятий платіж</t>
        </is>
      </c>
      <c r="F82" s="10" t="n">
        <v>737597.4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2026-10</t>
        </is>
      </c>
      <c r="K82" s="12" t="inlineStr"/>
    </row>
    <row r="83">
      <c r="A83" s="8" t="n">
        <v>46300</v>
      </c>
      <c r="B83" s="9" t="n">
        <v>5910</v>
      </c>
      <c r="C83" s="9" t="inlineStr">
        <is>
          <t>SGM Brdovec, Хорватия</t>
        </is>
      </c>
      <c r="D83" s="9" t="inlineStr">
        <is>
          <t>Донська</t>
        </is>
      </c>
      <c r="E83" s="9" t="inlineStr">
        <is>
          <t>Третій платіж</t>
        </is>
      </c>
      <c r="F83" s="10" t="n">
        <v>2909454.56</v>
      </c>
      <c r="G83" s="10" t="n">
        <v>249968.4</v>
      </c>
      <c r="H83" s="11">
        <f>F83-G83</f>
        <v/>
      </c>
      <c r="I83" s="9" t="inlineStr">
        <is>
          <t>очікується</t>
        </is>
      </c>
      <c r="J83" t="inlineStr">
        <is>
          <t>2026-10</t>
        </is>
      </c>
      <c r="K83" s="12" t="inlineStr">
        <is>
          <t>€55 694</t>
        </is>
      </c>
    </row>
    <row r="84">
      <c r="A84" s="8" t="n">
        <v>46308</v>
      </c>
      <c r="B84" s="9" t="n">
        <v>6352</v>
      </c>
      <c r="C84" s="9" t="inlineStr">
        <is>
          <t>АБМК SCP Blade 8PS</t>
        </is>
      </c>
      <c r="D84" s="9" t="inlineStr">
        <is>
          <t>Донська</t>
        </is>
      </c>
      <c r="E84" s="9" t="inlineStr">
        <is>
          <t>Четвертий платіж</t>
        </is>
      </c>
      <c r="F84" s="10" t="n">
        <v>371982.96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2026-10</t>
        </is>
      </c>
      <c r="K84" s="12" t="inlineStr"/>
    </row>
    <row r="85">
      <c r="A85" s="8" t="n">
        <v>46321</v>
      </c>
      <c r="B85" s="9" t="n">
        <v>6352</v>
      </c>
      <c r="C85" s="9" t="inlineStr">
        <is>
          <t>АБМК SCP Blade 8PS</t>
        </is>
      </c>
      <c r="D85" s="9" t="inlineStr">
        <is>
          <t>Донська</t>
        </is>
      </c>
      <c r="E85" s="9" t="inlineStr">
        <is>
          <t>П'ятий платіж</t>
        </is>
      </c>
      <c r="F85" s="10" t="n">
        <v>651792.28</v>
      </c>
      <c r="G85" s="10" t="n">
        <v>0</v>
      </c>
      <c r="H85" s="11">
        <f>F85-G85</f>
        <v/>
      </c>
      <c r="I85" s="9" t="inlineStr">
        <is>
          <t>очікується</t>
        </is>
      </c>
      <c r="J85" t="inlineStr">
        <is>
          <t>2026-10</t>
        </is>
      </c>
      <c r="K85" s="12" t="inlineStr"/>
    </row>
    <row r="86">
      <c r="E86" s="3" t="inlineStr">
        <is>
          <t>Разом</t>
        </is>
      </c>
      <c r="F86" s="13">
        <f>SUM(F2:F85)</f>
        <v/>
      </c>
      <c r="G86" s="13">
        <f>SUM(G2:G85)</f>
        <v/>
      </c>
      <c r="H86" s="13">
        <f>SUM(H2:H85)</f>
        <v/>
      </c>
    </row>
  </sheetData>
  <autoFilter ref="A1:I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46258</v>
      </c>
      <c r="B2" s="9" t="n">
        <v>3456</v>
      </c>
      <c r="C2" s="9" t="inlineStr">
        <is>
          <t>А Підселання фундаменту</t>
        </is>
      </c>
      <c r="D2" s="9" t="inlineStr">
        <is>
          <t>Третій платіж</t>
        </is>
      </c>
      <c r="E2" s="11" t="n">
        <v>335974.68</v>
      </c>
      <c r="F2" s="11" t="n">
        <v>0</v>
      </c>
      <c r="G2" s="11">
        <f>E2-F2</f>
        <v/>
      </c>
    </row>
    <row r="3">
      <c r="D3" s="3" t="inlineStr">
        <is>
          <t>Разом</t>
        </is>
      </c>
      <c r="E3" s="13">
        <f>SUM(E2:E2)</f>
        <v/>
      </c>
      <c r="F3" s="13">
        <f>SUM(F2:F2)</f>
        <v/>
      </c>
      <c r="G3" s="13">
        <f>SUM(G2:G2)</f>
        <v/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2026-08-24T18:21:49Z</dcterms:created>
  <dcterms:modified xmlns:dcterms="http://purl.org/dc/terms/" xmlns:xsi="http://www.w3.org/2001/XMLSchema-instance" xsi:type="dcterms:W3CDTF">2026-08-24T18:21:49Z</dcterms:modified>
</cp:coreProperties>
</file>