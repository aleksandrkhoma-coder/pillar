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надходжень'!$A$1:$I$84</definedName>
    <definedName name="_xlnm._FilterDatabase" localSheetId="3" hidden="1">'Прострочені'!$A$1:$G$3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07.08.2026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  <c r="K2" s="12" t="inlineStr"/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46133</v>
      </c>
      <c r="B4" s="9" t="n">
        <v>7244</v>
      </c>
      <c r="C4" s="9" t="inlineStr">
        <is>
          <t>В Модулекс модульна будівля Чернігів</t>
        </is>
      </c>
      <c r="D4" s="9" t="inlineStr">
        <is>
          <t>Заянчковський</t>
        </is>
      </c>
      <c r="E4" s="9" t="inlineStr">
        <is>
          <t>Авансовий платіж</t>
        </is>
      </c>
      <c r="F4" s="10" t="n">
        <v>77600</v>
      </c>
      <c r="G4" s="10" t="n">
        <v>77600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46139</v>
      </c>
      <c r="B5" s="9" t="n">
        <v>7536</v>
      </c>
      <c r="C5" s="9" t="inlineStr">
        <is>
          <t>А Ранчо “Едельвейс”  AGM  171PV</t>
        </is>
      </c>
      <c r="D5" s="9" t="inlineStr">
        <is>
          <t>Іщук</t>
        </is>
      </c>
      <c r="E5" s="9" t="inlineStr">
        <is>
          <t>Авансовий платіж</t>
        </is>
      </c>
      <c r="F5" s="10" t="n">
        <v>244374</v>
      </c>
      <c r="G5" s="10" t="n">
        <v>244374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  <c r="K5" s="12" t="inlineStr"/>
    </row>
    <row r="6">
      <c r="A6" s="8" t="n">
        <v>46147</v>
      </c>
      <c r="B6" s="9" t="n">
        <v>3456</v>
      </c>
      <c r="C6" s="9" t="inlineStr">
        <is>
          <t>А Підселання фундаменту</t>
        </is>
      </c>
      <c r="D6" s="9" t="inlineStr">
        <is>
          <t>Донська</t>
        </is>
      </c>
      <c r="E6" s="9" t="inlineStr">
        <is>
          <t>Авансовий платіж</t>
        </is>
      </c>
      <c r="F6" s="10" t="n">
        <v>421968</v>
      </c>
      <c r="G6" s="10" t="n">
        <v>421968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46149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46154</v>
      </c>
      <c r="B8" s="9" t="n">
        <v>8360</v>
      </c>
      <c r="C8" s="9" t="inlineStr">
        <is>
          <t>Хаджет Лебедівка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231000</v>
      </c>
      <c r="G8" s="10" t="n">
        <v>231000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46157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46160</v>
      </c>
      <c r="B10" s="9" t="n">
        <v>8008</v>
      </c>
      <c r="C10" s="9" t="inlineStr">
        <is>
          <t>Модулі Григорівка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430850.64</v>
      </c>
      <c r="G10" s="10" t="n">
        <v>430850.64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/>
    </row>
    <row r="11">
      <c r="A11" s="8" t="n">
        <v>46161</v>
      </c>
      <c r="B11" s="9" t="n">
        <v>5870</v>
      </c>
      <c r="C11" s="9" t="inlineStr">
        <is>
          <t>Carport Airport Munich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2611135.62</v>
      </c>
      <c r="G11" s="10" t="n">
        <v>2611135.62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€50 574</t>
        </is>
      </c>
    </row>
    <row r="12">
      <c r="A12" s="8" t="n">
        <v>46161</v>
      </c>
      <c r="B12" s="9" t="n">
        <v>6704</v>
      </c>
      <c r="C12" s="9" t="inlineStr">
        <is>
          <t>SCP Taurus 236PS</t>
        </is>
      </c>
      <c r="D12" s="9" t="inlineStr">
        <is>
          <t>Хома</t>
        </is>
      </c>
      <c r="E12" s="9" t="inlineStr">
        <is>
          <t>Авансовий платіж</t>
        </is>
      </c>
      <c r="F12" s="10" t="n">
        <v>5307564</v>
      </c>
      <c r="G12" s="10" t="n">
        <v>5307564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>
        <is>
          <t>€102 800</t>
        </is>
      </c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7068</v>
      </c>
      <c r="C38" s="9" t="inlineStr">
        <is>
          <t>А Remtec energy  AGM  160 TP</t>
        </is>
      </c>
      <c r="D38" s="9" t="inlineStr">
        <is>
          <t>Александров</t>
        </is>
      </c>
      <c r="E38" s="9" t="inlineStr">
        <is>
          <t>Другий платіж</t>
        </is>
      </c>
      <c r="F38" s="10" t="n">
        <v>0</v>
      </c>
      <c r="G38" s="10" t="n">
        <v>1153420</v>
      </c>
      <c r="H38" s="11">
        <f>F38-G38</f>
        <v/>
      </c>
      <c r="I38" s="9" t="inlineStr">
        <is>
          <t>очікується</t>
        </is>
      </c>
      <c r="J38" t="inlineStr">
        <is>
          <t>2026-06</t>
        </is>
      </c>
      <c r="K38" s="12" t="inlineStr"/>
    </row>
    <row r="39">
      <c r="A39" s="8" t="n">
        <v>46197</v>
      </c>
      <c r="B39" s="9" t="n">
        <v>8360</v>
      </c>
      <c r="C39" s="9" t="inlineStr">
        <is>
          <t>Хаджет Лебедівка</t>
        </is>
      </c>
      <c r="D39" s="9" t="inlineStr">
        <is>
          <t>Донська</t>
        </is>
      </c>
      <c r="E39" s="9" t="inlineStr">
        <is>
          <t>Третій платіж</t>
        </is>
      </c>
      <c r="F39" s="10" t="n">
        <v>95968.3</v>
      </c>
      <c r="G39" s="10" t="n">
        <v>95968.3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/>
    </row>
    <row r="40">
      <c r="A40" s="8" t="n">
        <v>46202</v>
      </c>
      <c r="B40" s="9" t="n">
        <v>6704</v>
      </c>
      <c r="C40" s="9" t="inlineStr">
        <is>
          <t>SCP Taurus 236PS</t>
        </is>
      </c>
      <c r="D40" s="9" t="inlineStr">
        <is>
          <t>Хома</t>
        </is>
      </c>
      <c r="E40" s="9" t="inlineStr">
        <is>
          <t>Другий платіж</t>
        </is>
      </c>
      <c r="F40" s="10" t="n">
        <v>1910464.89</v>
      </c>
      <c r="G40" s="10" t="n">
        <v>1910464.89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  <c r="K40" s="12" t="inlineStr">
        <is>
          <t>€37 003</t>
        </is>
      </c>
    </row>
    <row r="41">
      <c r="A41" s="8" t="n">
        <v>46204</v>
      </c>
      <c r="B41" s="9" t="n">
        <v>4766</v>
      </c>
      <c r="C41" s="9" t="inlineStr">
        <is>
          <t>ALTECO Carport Model Taurus 280кВт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20000</v>
      </c>
      <c r="G41" s="10" t="n">
        <v>20000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46209</v>
      </c>
      <c r="B42" s="9" t="n">
        <v>8878</v>
      </c>
      <c r="C42" s="9" t="inlineStr">
        <is>
          <t>А ТОВ КОМПАНІЯ ВОЛЬТ СЕРВІС ГРУП</t>
        </is>
      </c>
      <c r="D42" s="9" t="inlineStr">
        <is>
          <t>Заянчковський</t>
        </is>
      </c>
      <c r="E42" s="9" t="inlineStr">
        <is>
          <t>Авансовий платіж</t>
        </is>
      </c>
      <c r="F42" s="10" t="n">
        <v>410320</v>
      </c>
      <c r="G42" s="10" t="n">
        <v>410320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46210</v>
      </c>
      <c r="B43" s="9" t="n">
        <v>8008</v>
      </c>
      <c r="C43" s="9" t="inlineStr">
        <is>
          <t>Модулі Григорівка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178088.4</v>
      </c>
      <c r="G43" s="10" t="n">
        <v>178088.4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46213</v>
      </c>
      <c r="B44" s="9" t="n">
        <v>8454</v>
      </c>
      <c r="C44" s="9" t="inlineStr">
        <is>
          <t>Олександр каркасний Верховина</t>
        </is>
      </c>
      <c r="D44" s="9" t="inlineStr">
        <is>
          <t>Донська</t>
        </is>
      </c>
      <c r="E44" s="9" t="inlineStr">
        <is>
          <t>Третій платіж</t>
        </is>
      </c>
      <c r="F44" s="10" t="n">
        <v>69666</v>
      </c>
      <c r="G44" s="10" t="n">
        <v>69666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/>
    </row>
    <row r="45">
      <c r="A45" s="8" t="n">
        <v>46216</v>
      </c>
      <c r="B45" s="9" t="n">
        <v>8496</v>
      </c>
      <c r="C45" s="9" t="inlineStr">
        <is>
          <t>А Greensource  SGM  110MWp</t>
        </is>
      </c>
      <c r="D45" s="9" t="inlineStr">
        <is>
          <t>Іщук</t>
        </is>
      </c>
      <c r="E45" s="9" t="inlineStr">
        <is>
          <t>Авансовий платіж</t>
        </is>
      </c>
      <c r="F45" s="10" t="n">
        <v>454344</v>
      </c>
      <c r="G45" s="10" t="n">
        <v>454344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>
        <is>
          <t>€8 800</t>
        </is>
      </c>
    </row>
    <row r="46">
      <c r="A46" s="8" t="n">
        <v>46216</v>
      </c>
      <c r="B46" s="9" t="n">
        <v>8898</v>
      </c>
      <c r="C46" s="9" t="inlineStr">
        <is>
          <t>Григорівка №3</t>
        </is>
      </c>
      <c r="D46" s="9" t="inlineStr">
        <is>
          <t>Донська</t>
        </is>
      </c>
      <c r="E46" s="9" t="inlineStr">
        <is>
          <t>Авансовий платіж</t>
        </is>
      </c>
      <c r="F46" s="10" t="n">
        <v>290403.65</v>
      </c>
      <c r="G46" s="10" t="n">
        <v>290403.65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4766</v>
      </c>
      <c r="C47" s="9" t="inlineStr">
        <is>
          <t>ALTECO Carport Model Taurus 280кВт</t>
        </is>
      </c>
      <c r="D47" s="9" t="inlineStr">
        <is>
          <t>Заянчковський</t>
        </is>
      </c>
      <c r="E47" s="9" t="inlineStr">
        <is>
          <t>Другий платіж</t>
        </is>
      </c>
      <c r="F47" s="10" t="n">
        <v>100000</v>
      </c>
      <c r="G47" s="10" t="n">
        <v>100000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46217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Третій платіж</t>
        </is>
      </c>
      <c r="F49" s="10" t="n">
        <v>63313.4</v>
      </c>
      <c r="G49" s="10" t="n">
        <v>63313.4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6352</v>
      </c>
      <c r="C50" s="9" t="inlineStr">
        <is>
          <t>АБМК SCP Blade 8PS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80000.03999999999</v>
      </c>
      <c r="G50" s="10" t="n">
        <v>80000.03999999999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Авансовий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Третій платіж</t>
        </is>
      </c>
      <c r="F52" s="10" t="n">
        <v>126896.64</v>
      </c>
      <c r="G52" s="10" t="n">
        <v>126896.64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46219</v>
      </c>
      <c r="B53" s="9" t="n">
        <v>7002</v>
      </c>
      <c r="C53" s="9" t="inlineStr">
        <is>
          <t>Фора SCP Млиново</t>
        </is>
      </c>
      <c r="D53" s="9" t="inlineStr">
        <is>
          <t>Донська</t>
        </is>
      </c>
      <c r="E53" s="9" t="inlineStr">
        <is>
          <t>Четвертий платіж</t>
        </is>
      </c>
      <c r="F53" s="10" t="n">
        <v>573945</v>
      </c>
      <c r="G53" s="10" t="n">
        <v>573945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46224</v>
      </c>
      <c r="B54" s="9" t="n">
        <v>4766</v>
      </c>
      <c r="C54" s="9" t="inlineStr">
        <is>
          <t>ALTECO Carport Model Taurus 280кВт</t>
        </is>
      </c>
      <c r="D54" s="9" t="inlineStr">
        <is>
          <t>Заянчковський</t>
        </is>
      </c>
      <c r="E54" s="9" t="inlineStr">
        <is>
          <t>Третій платіж</t>
        </is>
      </c>
      <c r="F54" s="10" t="n">
        <v>4368478.98</v>
      </c>
      <c r="G54" s="10" t="n">
        <v>4368478.98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/>
    </row>
    <row r="55">
      <c r="A55" s="8" t="n">
        <v>46225</v>
      </c>
      <c r="B55" s="9" t="n">
        <v>5910</v>
      </c>
      <c r="C55" s="9" t="inlineStr">
        <is>
          <t>SGM Brdovec, Хорватия</t>
        </is>
      </c>
      <c r="D55" s="9" t="inlineStr">
        <is>
          <t>Донська</t>
        </is>
      </c>
      <c r="E55" s="9" t="inlineStr">
        <is>
          <t>Авансовий платіж</t>
        </is>
      </c>
      <c r="F55" s="10" t="n">
        <v>8626856.700000001</v>
      </c>
      <c r="G55" s="10" t="n">
        <v>8626856.700000001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>
        <is>
          <t>€167 090</t>
        </is>
      </c>
    </row>
    <row r="56">
      <c r="A56" s="8" t="n">
        <v>46230</v>
      </c>
      <c r="B56" s="9" t="n">
        <v>6312</v>
      </c>
      <c r="C56" s="9" t="inlineStr">
        <is>
          <t>-26 ГШ Фундамент домобудування Георгій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543429</v>
      </c>
      <c r="G56" s="10" t="n">
        <v>543429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6130</v>
      </c>
      <c r="C57" s="9" t="inlineStr">
        <is>
          <t>-26 ГШ Фундамент домобудування Євро Простір Марія</t>
        </is>
      </c>
      <c r="D57" s="9" t="inlineStr">
        <is>
          <t>Заянчковський</t>
        </is>
      </c>
      <c r="E57" s="9" t="inlineStr">
        <is>
          <t>Авансовий платіж</t>
        </is>
      </c>
      <c r="F57" s="10" t="n">
        <v>56056</v>
      </c>
      <c r="G57" s="10" t="n">
        <v>56056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/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46234</v>
      </c>
      <c r="B60" s="9" t="n">
        <v>7068</v>
      </c>
      <c r="C60" s="9" t="inlineStr">
        <is>
          <t>А Remtec energy  AGM  160 TP</t>
        </is>
      </c>
      <c r="D60" s="9" t="inlineStr">
        <is>
          <t>Александров</t>
        </is>
      </c>
      <c r="E60" s="9" t="inlineStr">
        <is>
          <t>Третій платіж</t>
        </is>
      </c>
      <c r="F60" s="10" t="n">
        <v>0</v>
      </c>
      <c r="G60" s="10" t="n">
        <v>2794670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  <c r="K60" s="12" t="inlineStr"/>
    </row>
    <row r="61">
      <c r="A61" s="8" t="n">
        <v>46237</v>
      </c>
      <c r="B61" s="9" t="n">
        <v>6130</v>
      </c>
      <c r="C61" s="9" t="inlineStr">
        <is>
          <t>-26 ГШ Фундамент домобудування Євро Простір Марія</t>
        </is>
      </c>
      <c r="D61" s="9" t="inlineStr">
        <is>
          <t>Заянчковський</t>
        </is>
      </c>
      <c r="E61" s="9" t="inlineStr">
        <is>
          <t>Четвертий платіж</t>
        </is>
      </c>
      <c r="F61" s="10" t="n">
        <v>36665</v>
      </c>
      <c r="G61" s="10" t="n">
        <v>36665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46237</v>
      </c>
      <c r="B62" s="9" t="n">
        <v>6352</v>
      </c>
      <c r="C62" s="9" t="inlineStr">
        <is>
          <t>АБМК SCP Blade 8PS</t>
        </is>
      </c>
      <c r="D62" s="9" t="inlineStr">
        <is>
          <t>Донська</t>
        </is>
      </c>
      <c r="E62" s="9" t="inlineStr">
        <is>
          <t>Другий платіж</t>
        </is>
      </c>
      <c r="F62" s="10" t="n">
        <v>1399046.58</v>
      </c>
      <c r="G62" s="10" t="n">
        <v>1399046.58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4766</v>
      </c>
      <c r="C63" s="9" t="inlineStr">
        <is>
          <t>ALTECO Carport Model Taurus 280кВт</t>
        </is>
      </c>
      <c r="D63" s="9" t="inlineStr">
        <is>
          <t>Заянчковський</t>
        </is>
      </c>
      <c r="E63" s="9" t="inlineStr">
        <is>
          <t>Четвертий платіж</t>
        </is>
      </c>
      <c r="F63" s="10" t="n">
        <v>64050</v>
      </c>
      <c r="G63" s="10" t="n">
        <v>64050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46238</v>
      </c>
      <c r="B64" s="9" t="n">
        <v>8188</v>
      </c>
      <c r="C64" s="9" t="inlineStr">
        <is>
          <t>Фундамент Ужгород Стефанія</t>
        </is>
      </c>
      <c r="D64" s="9" t="inlineStr">
        <is>
          <t>Іщук</t>
        </is>
      </c>
      <c r="E64" s="9" t="inlineStr">
        <is>
          <t>Другий платіж</t>
        </is>
      </c>
      <c r="F64" s="10" t="n">
        <v>73926</v>
      </c>
      <c r="G64" s="10" t="n">
        <v>0</v>
      </c>
      <c r="H64" s="11">
        <f>F64-G64</f>
        <v/>
      </c>
      <c r="I64" s="9" t="inlineStr">
        <is>
          <t>прострочено</t>
        </is>
      </c>
      <c r="J64" t="inlineStr">
        <is>
          <t>2026-08</t>
        </is>
      </c>
      <c r="K64" s="12" t="inlineStr"/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46247</v>
      </c>
      <c r="B67" s="9" t="n">
        <v>7894</v>
      </c>
      <c r="C67" s="9" t="inlineStr">
        <is>
          <t>SCP Фора  Хотів</t>
        </is>
      </c>
      <c r="D67" s="9" t="inlineStr">
        <is>
          <t>Донська</t>
        </is>
      </c>
      <c r="E67" s="9" t="inlineStr">
        <is>
          <t>Другий платіж</t>
        </is>
      </c>
      <c r="F67" s="10" t="n">
        <v>185968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/>
    </row>
    <row r="68">
      <c r="A68" s="8" t="n">
        <v>46248</v>
      </c>
      <c r="B68" s="9" t="n">
        <v>7894</v>
      </c>
      <c r="C68" s="9" t="inlineStr">
        <is>
          <t>SCP Фора  Хотів</t>
        </is>
      </c>
      <c r="D68" s="9" t="inlineStr">
        <is>
          <t>Донська</t>
        </is>
      </c>
      <c r="E68" s="9" t="inlineStr">
        <is>
          <t>Третій платіж</t>
        </is>
      </c>
      <c r="F68" s="10" t="n">
        <v>185967.99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46252</v>
      </c>
      <c r="B69" s="9" t="n">
        <v>8898</v>
      </c>
      <c r="C69" s="9" t="inlineStr">
        <is>
          <t>Григорівка №3</t>
        </is>
      </c>
      <c r="D69" s="9" t="inlineStr">
        <is>
          <t>Донська</t>
        </is>
      </c>
      <c r="E69" s="9" t="inlineStr">
        <is>
          <t>Другий платіж</t>
        </is>
      </c>
      <c r="F69" s="10" t="n">
        <v>188043.75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3456</v>
      </c>
      <c r="C70" s="9" t="inlineStr">
        <is>
          <t>А Підселання фундаменту</t>
        </is>
      </c>
      <c r="D70" s="9" t="inlineStr">
        <is>
          <t>Донська</t>
        </is>
      </c>
      <c r="E70" s="9" t="inlineStr">
        <is>
          <t>Третій платіж</t>
        </is>
      </c>
      <c r="F70" s="10" t="n">
        <v>335974.68</v>
      </c>
      <c r="G70" s="10" t="n">
        <v>0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/>
    </row>
    <row r="71">
      <c r="A71" s="8" t="n">
        <v>46258</v>
      </c>
      <c r="B71" s="9" t="n">
        <v>5910</v>
      </c>
      <c r="C71" s="9" t="inlineStr">
        <is>
          <t>SGM Brdovec, Хорватия</t>
        </is>
      </c>
      <c r="D71" s="9" t="inlineStr">
        <is>
          <t>Донська</t>
        </is>
      </c>
      <c r="E71" s="9" t="inlineStr">
        <is>
          <t>Другий платіж 60%</t>
        </is>
      </c>
      <c r="F71" s="10" t="n">
        <v>17253765.03</v>
      </c>
      <c r="G71" s="10" t="n">
        <v>2964594.6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>
        <is>
          <t>€334 181</t>
        </is>
      </c>
    </row>
    <row r="72">
      <c r="A72" s="8" t="n">
        <v>46258</v>
      </c>
      <c r="B72" s="9" t="n">
        <v>6352</v>
      </c>
      <c r="C72" s="9" t="inlineStr">
        <is>
          <t>АБМК SCP Blade 8PS</t>
        </is>
      </c>
      <c r="D72" s="9" t="inlineStr">
        <is>
          <t>Донська</t>
        </is>
      </c>
      <c r="E72" s="9" t="inlineStr">
        <is>
          <t>Третій платіж</t>
        </is>
      </c>
      <c r="F72" s="10" t="n">
        <v>1119237.26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6704</v>
      </c>
      <c r="C73" s="9" t="inlineStr">
        <is>
          <t>SCP Taurus 236PS</t>
        </is>
      </c>
      <c r="D73" s="9" t="inlineStr">
        <is>
          <t>Хома</t>
        </is>
      </c>
      <c r="E73" s="9" t="inlineStr">
        <is>
          <t>Третій платіж</t>
        </is>
      </c>
      <c r="F73" s="10" t="n">
        <v>4617529.05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>
        <is>
          <t>€89 435</t>
        </is>
      </c>
    </row>
    <row r="74">
      <c r="A74" s="8" t="n">
        <v>46264</v>
      </c>
      <c r="B74" s="9" t="n">
        <v>5870</v>
      </c>
      <c r="C74" s="9" t="inlineStr">
        <is>
          <t>Carport Airport Munich</t>
        </is>
      </c>
      <c r="D74" s="9" t="inlineStr">
        <is>
          <t>Хома</t>
        </is>
      </c>
      <c r="E74" s="9" t="inlineStr">
        <is>
          <t>Другий платіж</t>
        </is>
      </c>
      <c r="F74" s="10" t="n">
        <v>7833355.23</v>
      </c>
      <c r="G74" s="10" t="n">
        <v>0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>
        <is>
          <t>€151 721</t>
        </is>
      </c>
    </row>
    <row r="75">
      <c r="A75" s="8" t="n">
        <v>46265</v>
      </c>
      <c r="B75" s="9" t="n">
        <v>6130</v>
      </c>
      <c r="C75" s="9" t="inlineStr">
        <is>
          <t>-26 ГШ Фундамент домобудування Євро Простір Марія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73335</v>
      </c>
      <c r="G75" s="10" t="n">
        <v>36665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46265</v>
      </c>
      <c r="B76" s="9" t="n">
        <v>7244</v>
      </c>
      <c r="C76" s="9" t="inlineStr">
        <is>
          <t>В Модулекс модульна будівля Чернігів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132708.6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2026-08</t>
        </is>
      </c>
      <c r="K76" s="12" t="inlineStr"/>
    </row>
    <row r="77">
      <c r="A77" s="8" t="n">
        <v>46267</v>
      </c>
      <c r="B77" s="9" t="n">
        <v>4766</v>
      </c>
      <c r="C77" s="9" t="inlineStr">
        <is>
          <t>ALTECO Carport Model Taurus 280кВт</t>
        </is>
      </c>
      <c r="D77" s="9" t="inlineStr">
        <is>
          <t>Заянчковський</t>
        </is>
      </c>
      <c r="E77" s="9" t="inlineStr">
        <is>
          <t>П'ятий платіж</t>
        </is>
      </c>
      <c r="F77" s="10" t="n">
        <v>1263447.42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/>
    </row>
    <row r="78">
      <c r="A78" s="8" t="n">
        <v>46267</v>
      </c>
      <c r="B78" s="9" t="n">
        <v>5910</v>
      </c>
      <c r="C78" s="9" t="inlineStr">
        <is>
          <t>SGM Brdovec, Хорватия</t>
        </is>
      </c>
      <c r="D78" s="9" t="inlineStr">
        <is>
          <t>Донська</t>
        </is>
      </c>
      <c r="E78" s="9" t="inlineStr">
        <is>
          <t>Третій платіж</t>
        </is>
      </c>
      <c r="F78" s="10" t="n">
        <v>2875481.22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>
        <is>
          <t>€55 694</t>
        </is>
      </c>
    </row>
    <row r="79">
      <c r="A79" s="8" t="n">
        <v>46273</v>
      </c>
      <c r="B79" s="9" t="n">
        <v>7002</v>
      </c>
      <c r="C79" s="9" t="inlineStr">
        <is>
          <t>Фора SCP Млиново</t>
        </is>
      </c>
      <c r="D79" s="9" t="inlineStr">
        <is>
          <t>Донська</t>
        </is>
      </c>
      <c r="E79" s="9" t="inlineStr">
        <is>
          <t>П'ятий платіж</t>
        </is>
      </c>
      <c r="F79" s="10" t="n">
        <v>573945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46280</v>
      </c>
      <c r="B80" s="9" t="n">
        <v>8898</v>
      </c>
      <c r="C80" s="9" t="inlineStr">
        <is>
          <t>Григорівка №3</t>
        </is>
      </c>
      <c r="D80" s="9" t="inlineStr">
        <is>
          <t>Донська</t>
        </is>
      </c>
      <c r="E80" s="9" t="inlineStr">
        <is>
          <t>Третій платіж</t>
        </is>
      </c>
      <c r="F80" s="10" t="n">
        <v>188043.75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46283</v>
      </c>
      <c r="B81" s="9" t="n">
        <v>7508</v>
      </c>
      <c r="C81" s="9" t="inlineStr">
        <is>
          <t>8602 Євген Весільна тераса Подорожнє</t>
        </is>
      </c>
      <c r="D81" s="9" t="inlineStr">
        <is>
          <t>Заянчковський</t>
        </is>
      </c>
      <c r="E81" s="9" t="inlineStr">
        <is>
          <t>Третій платіж</t>
        </is>
      </c>
      <c r="F81" s="10" t="n">
        <v>750999.9399999999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2026-09</t>
        </is>
      </c>
      <c r="K81" s="12" t="inlineStr"/>
    </row>
    <row r="82">
      <c r="A82" s="8" t="n">
        <v>46291</v>
      </c>
      <c r="B82" s="9" t="n">
        <v>7894</v>
      </c>
      <c r="C82" s="9" t="inlineStr">
        <is>
          <t>SCP Фора  Хотів</t>
        </is>
      </c>
      <c r="D82" s="9" t="inlineStr">
        <is>
          <t>Донська</t>
        </is>
      </c>
      <c r="E82" s="9" t="inlineStr">
        <is>
          <t>П'ятий платіж</t>
        </is>
      </c>
      <c r="F82" s="10" t="n">
        <v>737597.4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2026-09</t>
        </is>
      </c>
      <c r="K82" s="12" t="inlineStr"/>
    </row>
    <row r="83">
      <c r="A83" s="8" t="n">
        <v>46308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Четвертий платіж</t>
        </is>
      </c>
      <c r="F83" s="10" t="n">
        <v>371982.96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A84" s="8" t="n">
        <v>46321</v>
      </c>
      <c r="B84" s="9" t="n">
        <v>6352</v>
      </c>
      <c r="C84" s="9" t="inlineStr">
        <is>
          <t>АБМК SCP Blade 8PS</t>
        </is>
      </c>
      <c r="D84" s="9" t="inlineStr">
        <is>
          <t>Донська</t>
        </is>
      </c>
      <c r="E84" s="9" t="inlineStr">
        <is>
          <t>П'ятий платіж</t>
        </is>
      </c>
      <c r="F84" s="10" t="n">
        <v>651792.28</v>
      </c>
      <c r="G84" s="10" t="n">
        <v>0</v>
      </c>
      <c r="H84" s="11">
        <f>F84-G84</f>
        <v/>
      </c>
      <c r="I84" s="9" t="inlineStr">
        <is>
          <t>очікується</t>
        </is>
      </c>
      <c r="J84" t="inlineStr">
        <is>
          <t>2026-10</t>
        </is>
      </c>
      <c r="K84" s="12" t="inlineStr"/>
    </row>
    <row r="85">
      <c r="E85" s="3" t="inlineStr">
        <is>
          <t>Разом</t>
        </is>
      </c>
      <c r="F85" s="13">
        <f>SUM(F2:F84)</f>
        <v/>
      </c>
      <c r="G85" s="13">
        <f>SUM(G2:G84)</f>
        <v/>
      </c>
      <c r="H85" s="13">
        <f>SUM(H2:H84)</f>
        <v/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Авансовий платіж</t>
        </is>
      </c>
      <c r="E2" s="11" t="n">
        <v>5640128</v>
      </c>
      <c r="F2" s="11" t="n">
        <v>1692038</v>
      </c>
      <c r="G2" s="11">
        <f>E2-F2</f>
        <v/>
      </c>
    </row>
    <row r="3">
      <c r="A3" s="8" t="n">
        <v>46238</v>
      </c>
      <c r="B3" s="9" t="n">
        <v>8188</v>
      </c>
      <c r="C3" s="9" t="inlineStr">
        <is>
          <t>Фундамент Ужгород Стефанія</t>
        </is>
      </c>
      <c r="D3" s="9" t="inlineStr">
        <is>
          <t>Другий платіж</t>
        </is>
      </c>
      <c r="E3" s="11" t="n">
        <v>73926</v>
      </c>
      <c r="F3" s="11" t="n">
        <v>0</v>
      </c>
      <c r="G3" s="11">
        <f>E3-F3</f>
        <v/>
      </c>
    </row>
    <row r="4">
      <c r="D4" s="3" t="inlineStr">
        <is>
          <t>Разом</t>
        </is>
      </c>
      <c r="E4" s="13">
        <f>SUM(E2:E3)</f>
        <v/>
      </c>
      <c r="F4" s="13">
        <f>SUM(F2:F3)</f>
        <v/>
      </c>
      <c r="G4" s="13">
        <f>SUM(G2:G3)</f>
        <v/>
      </c>
    </row>
  </sheetData>
  <autoFilter ref="A1:G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2026-08-07T06:41:07Z</dcterms:created>
  <dcterms:modified xmlns:dcterms="http://purl.org/dc/terms/" xmlns:xsi="http://www.w3.org/2001/XMLSchema-instance" xsi:type="dcterms:W3CDTF">2026-08-07T06:41:07Z</dcterms:modified>
</cp:coreProperties>
</file>