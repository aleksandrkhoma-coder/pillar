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надходжень'!$A$1:$I$84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19.08.2026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2591500</v>
      </c>
      <c r="G10" s="10" t="n">
        <v>2591500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5183000</v>
      </c>
      <c r="G11" s="10" t="n">
        <v>5183000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1865880</v>
      </c>
      <c r="G39" s="10" t="n">
        <v>1865880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456104</v>
      </c>
      <c r="G44" s="10" t="n">
        <v>456104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8660274.699999999</v>
      </c>
      <c r="G54" s="10" t="n">
        <v>8660274.699999999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4079021</v>
      </c>
      <c r="G57" s="10" t="n">
        <v>4079021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4961426.75</v>
      </c>
      <c r="G64" s="10" t="n">
        <v>4961426.75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46241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Третій платіж</t>
        </is>
      </c>
      <c r="F65" s="10" t="n">
        <v>755422.25</v>
      </c>
      <c r="G65" s="10" t="n">
        <v>755422.25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€14 575</t>
        </is>
      </c>
    </row>
    <row r="66">
      <c r="A66" s="8" t="n">
        <v>46253</v>
      </c>
      <c r="B66" s="9" t="n">
        <v>8898</v>
      </c>
      <c r="C66" s="9" t="inlineStr">
        <is>
          <t>Григорівка №3</t>
        </is>
      </c>
      <c r="D66" s="9" t="inlineStr">
        <is>
          <t>Донська</t>
        </is>
      </c>
      <c r="E66" s="9" t="inlineStr">
        <is>
          <t>Другий платіж</t>
        </is>
      </c>
      <c r="F66" s="10" t="n">
        <v>188043.75</v>
      </c>
      <c r="G66" s="10" t="n">
        <v>0</v>
      </c>
      <c r="H66" s="11">
        <f>F66-G66</f>
        <v/>
      </c>
      <c r="I66" s="9" t="inlineStr">
        <is>
          <t>прострочено</t>
        </is>
      </c>
      <c r="J66" t="inlineStr">
        <is>
          <t>2026-08</t>
        </is>
      </c>
      <c r="K66" s="12" t="inlineStr"/>
    </row>
    <row r="67">
      <c r="A67" s="8" t="n">
        <v>46255</v>
      </c>
      <c r="B67" s="9" t="n">
        <v>8878</v>
      </c>
      <c r="C67" s="9" t="inlineStr">
        <is>
          <t>А ТОВ КОМПАНІЯ ВОЛЬТ СЕРВІС ГРУП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12823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46258</v>
      </c>
      <c r="B68" s="9" t="n">
        <v>3456</v>
      </c>
      <c r="C68" s="9" t="inlineStr">
        <is>
          <t>А Підселання фундаменту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335974.68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6352</v>
      </c>
      <c r="C69" s="9" t="inlineStr">
        <is>
          <t>АБМК SCP Blade 8PS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1119237.26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46259</v>
      </c>
      <c r="B70" s="9" t="n">
        <v>6406</v>
      </c>
      <c r="C70" s="9" t="inlineStr">
        <is>
          <t>Максим Яловий Чинадієво</t>
        </is>
      </c>
      <c r="D70" s="9" t="inlineStr">
        <is>
          <t>Іщук</t>
        </is>
      </c>
      <c r="E70" s="9" t="inlineStr">
        <is>
          <t>Другий платіж</t>
        </is>
      </c>
      <c r="F70" s="10" t="n">
        <v>218602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46261</v>
      </c>
      <c r="B71" s="9" t="n">
        <v>5910</v>
      </c>
      <c r="C71" s="9" t="inlineStr">
        <is>
          <t>SGM Brdovec, Хорватия</t>
        </is>
      </c>
      <c r="D71" s="9" t="inlineStr">
        <is>
          <t>Донська</t>
        </is>
      </c>
      <c r="E71" s="9" t="inlineStr">
        <is>
          <t>Другий платіж 60%</t>
        </is>
      </c>
      <c r="F71" s="10" t="n">
        <v>17320601.23</v>
      </c>
      <c r="G71" s="10" t="n">
        <v>2976078.6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>
        <is>
          <t>€334 181</t>
        </is>
      </c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Четвертий платіж</t>
        </is>
      </c>
      <c r="F74" s="10" t="n">
        <v>907025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€17 500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46267</v>
      </c>
      <c r="B78" s="9" t="n">
        <v>5910</v>
      </c>
      <c r="C78" s="9" t="inlineStr">
        <is>
          <t>SGM Brdovec, Хорватия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2886620.02</v>
      </c>
      <c r="G78" s="10" t="n">
        <v>248006.55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€55 694</t>
        </is>
      </c>
    </row>
    <row r="79">
      <c r="A79" s="8" t="n">
        <v>46273</v>
      </c>
      <c r="B79" s="9" t="n">
        <v>7002</v>
      </c>
      <c r="C79" s="9" t="inlineStr">
        <is>
          <t>Фора SCP Млиново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573945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46280</v>
      </c>
      <c r="B80" s="9" t="n">
        <v>8898</v>
      </c>
      <c r="C80" s="9" t="inlineStr">
        <is>
          <t>Григорівка №3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188043.75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46283</v>
      </c>
      <c r="B81" s="9" t="n">
        <v>7508</v>
      </c>
      <c r="C81" s="9" t="inlineStr">
        <is>
          <t>8602 Євген Весільна тераса Подорожнє</t>
        </is>
      </c>
      <c r="D81" s="9" t="inlineStr">
        <is>
          <t>Заянчковський</t>
        </is>
      </c>
      <c r="E81" s="9" t="inlineStr">
        <is>
          <t>Третій платіж</t>
        </is>
      </c>
      <c r="F81" s="10" t="n">
        <v>750999.9399999999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46297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46308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Четвертий платіж</t>
        </is>
      </c>
      <c r="F83" s="10" t="n">
        <v>371982.96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A84" s="8" t="n">
        <v>46321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П'ятий платіж</t>
        </is>
      </c>
      <c r="F84" s="10" t="n">
        <v>651792.28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E85" s="3" t="inlineStr">
        <is>
          <t>Разом</t>
        </is>
      </c>
      <c r="F85" s="13">
        <f>SUM(F2:F84)</f>
        <v/>
      </c>
      <c r="G85" s="13">
        <f>SUM(G2:G84)</f>
        <v/>
      </c>
      <c r="H85" s="13">
        <f>SUM(H2:H84)</f>
        <v/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46253</v>
      </c>
      <c r="B2" s="9" t="n">
        <v>8898</v>
      </c>
      <c r="C2" s="9" t="inlineStr">
        <is>
          <t>Григорівка №3</t>
        </is>
      </c>
      <c r="D2" s="9" t="inlineStr">
        <is>
          <t>Другий платіж</t>
        </is>
      </c>
      <c r="E2" s="11" t="n">
        <v>188043.75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2026-08-19T04:14:58Z</dcterms:created>
  <dcterms:modified xmlns:dcterms="http://purl.org/dc/terms/" xmlns:xsi="http://www.w3.org/2001/XMLSchema-instance" xsi:type="dcterms:W3CDTF">2026-08-19T04:14:58Z</dcterms:modified>
</cp:coreProperties>
</file>