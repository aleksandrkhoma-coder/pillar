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надходжень'!$A$1:$I$111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31.10.2026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2525000</v>
      </c>
      <c r="G10" s="10" t="n">
        <v>2525000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5050000</v>
      </c>
      <c r="G11" s="10" t="n">
        <v>5050000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2050102</v>
      </c>
      <c r="G15" s="10" t="n">
        <v>2050102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1818000</v>
      </c>
      <c r="G39" s="10" t="n">
        <v>1818000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444400</v>
      </c>
      <c r="G44" s="10" t="n">
        <v>444400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8438045</v>
      </c>
      <c r="G54" s="10" t="n">
        <v>8438045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3974350</v>
      </c>
      <c r="G57" s="10" t="n">
        <v>3974350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4834112.5</v>
      </c>
      <c r="G66" s="10" t="n">
        <v>4834112.5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736037.5</v>
      </c>
      <c r="G67" s="10" t="n">
        <v>736037.5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546157.5</v>
      </c>
      <c r="G69" s="10" t="n">
        <v>546157.5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883750</v>
      </c>
      <c r="G70" s="10" t="n">
        <v>883750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46254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2750028</v>
      </c>
      <c r="G78" s="10" t="n">
        <v>2750028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1526362.5</v>
      </c>
      <c r="G80" s="10" t="n">
        <v>1526362.5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578694</v>
      </c>
      <c r="G87" s="10" t="n">
        <v>578694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7904</v>
      </c>
      <c r="C88" s="9" t="inlineStr">
        <is>
          <t>А СОЛАРС РЕ ЕНЕРДЖІ ГРУП</t>
        </is>
      </c>
      <c r="D88" s="9" t="inlineStr">
        <is>
          <t>Іщук</t>
        </is>
      </c>
      <c r="E88" s="9" t="inlineStr">
        <is>
          <t>Авансовий платіж</t>
        </is>
      </c>
      <c r="F88" s="10" t="n">
        <v>691660.98</v>
      </c>
      <c r="G88" s="10" t="n">
        <v>691660.98</v>
      </c>
      <c r="H88" s="11">
        <f>F88-G88</f>
        <v/>
      </c>
      <c r="I88" s="9" t="inlineStr">
        <is>
          <t>отримано</t>
        </is>
      </c>
      <c r="J88" t="inlineStr">
        <is>
          <t>2026-09</t>
        </is>
      </c>
      <c r="K88" s="12" t="inlineStr"/>
    </row>
    <row r="89">
      <c r="A89" s="8" t="n">
        <v>46296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50823.44</v>
      </c>
      <c r="H89" s="11">
        <f>F89-G89</f>
        <v/>
      </c>
      <c r="I89" s="9" t="inlineStr">
        <is>
          <t>отримано</t>
        </is>
      </c>
      <c r="J89" t="inlineStr">
        <is>
          <t>2026-10</t>
        </is>
      </c>
      <c r="K89" s="12" t="inlineStr"/>
    </row>
    <row r="90">
      <c r="A90" s="8" t="n">
        <v>46297</v>
      </c>
      <c r="B90" s="9" t="n">
        <v>9562</v>
      </c>
      <c r="C90" s="9" t="inlineStr">
        <is>
          <t>26  SOLAR Наземні СЕС Київ  шт. 0 шт. 0.77 Мвт SolarWind</t>
        </is>
      </c>
      <c r="D90" s="9" t="inlineStr">
        <is>
          <t>Іщук</t>
        </is>
      </c>
      <c r="E90" s="9" t="inlineStr">
        <is>
          <t>Авансовий платіж</t>
        </is>
      </c>
      <c r="F90" s="10" t="n">
        <v>397353.6</v>
      </c>
      <c r="G90" s="10" t="n">
        <v>397353.6</v>
      </c>
      <c r="H90" s="11">
        <f>F90-G90</f>
        <v/>
      </c>
      <c r="I90" s="9" t="inlineStr">
        <is>
          <t>отримано</t>
        </is>
      </c>
      <c r="J90" t="inlineStr">
        <is>
          <t>2026-10</t>
        </is>
      </c>
      <c r="K90" s="12" t="inlineStr"/>
    </row>
    <row r="91">
      <c r="A91" s="8" t="n">
        <v>46305</v>
      </c>
      <c r="B91" s="9" t="n">
        <v>6024</v>
      </c>
      <c r="C91" s="9" t="inlineStr">
        <is>
          <t>-26 ГШ с. Липовиця Черніг. обл. Модулекс</t>
        </is>
      </c>
      <c r="D91" s="9" t="inlineStr">
        <is>
          <t>Заянчковський</t>
        </is>
      </c>
      <c r="E91" s="9" t="inlineStr">
        <is>
          <t>Другий платіж</t>
        </is>
      </c>
      <c r="F91" s="10" t="n">
        <v>246402</v>
      </c>
      <c r="G91" s="10" t="n">
        <v>246402</v>
      </c>
      <c r="H91" s="11">
        <f>F91-G91</f>
        <v/>
      </c>
      <c r="I91" s="9" t="inlineStr">
        <is>
          <t>отримано</t>
        </is>
      </c>
      <c r="J91" t="inlineStr">
        <is>
          <t>2026-10</t>
        </is>
      </c>
      <c r="K91" s="12" t="inlineStr"/>
    </row>
    <row r="92">
      <c r="A92" s="8" t="n">
        <v>46307</v>
      </c>
      <c r="B92" s="9" t="n">
        <v>8716</v>
      </c>
      <c r="C92" s="9" t="inlineStr">
        <is>
          <t>SOLAR Наземні СЕС Київ ТОВ ССДЖЕЙ УКРАЇНА</t>
        </is>
      </c>
      <c r="D92" s="9" t="inlineStr">
        <is>
          <t>Іщук</t>
        </is>
      </c>
      <c r="E92" s="9" t="inlineStr">
        <is>
          <t>Авансовий платіж</t>
        </is>
      </c>
      <c r="F92" s="10" t="n">
        <v>1580000</v>
      </c>
      <c r="G92" s="10" t="n">
        <v>1580000</v>
      </c>
      <c r="H92" s="11">
        <f>F92-G92</f>
        <v/>
      </c>
      <c r="I92" s="9" t="inlineStr">
        <is>
          <t>отримано</t>
        </is>
      </c>
      <c r="J92" t="inlineStr">
        <is>
          <t>2026-10</t>
        </is>
      </c>
      <c r="K92" s="12" t="inlineStr"/>
    </row>
    <row r="93">
      <c r="A93" s="8" t="n">
        <v>46307</v>
      </c>
      <c r="B93" s="9" t="n">
        <v>9698</v>
      </c>
      <c r="C93" s="9" t="inlineStr">
        <is>
          <t>26  ГШ Фундамент домобудування шт. 0 шт</t>
        </is>
      </c>
      <c r="D93" s="9" t="inlineStr">
        <is>
          <t>Донська</t>
        </is>
      </c>
      <c r="E93" s="9" t="inlineStr">
        <is>
          <t>Авансовий платіж</t>
        </is>
      </c>
      <c r="F93" s="10" t="n">
        <v>71830.08</v>
      </c>
      <c r="G93" s="10" t="n">
        <v>71830.08</v>
      </c>
      <c r="H93" s="11">
        <f>F93-G93</f>
        <v/>
      </c>
      <c r="I93" s="9" t="inlineStr">
        <is>
          <t>отримано</t>
        </is>
      </c>
      <c r="J93" t="inlineStr">
        <is>
          <t>2026-10</t>
        </is>
      </c>
      <c r="K93" s="12" t="inlineStr"/>
    </row>
    <row r="94">
      <c r="A94" s="8" t="n">
        <v>46311</v>
      </c>
      <c r="B94" s="9" t="n">
        <v>7414</v>
      </c>
      <c r="C94" s="9" t="inlineStr">
        <is>
          <t>-26 ГШ Фундамент домобудування Володимир</t>
        </is>
      </c>
      <c r="D94" s="9" t="inlineStr">
        <is>
          <t>Заянчковський</t>
        </is>
      </c>
      <c r="E94" s="9" t="inlineStr">
        <is>
          <t>Четвертий платіж</t>
        </is>
      </c>
      <c r="F94" s="10" t="n">
        <v>50823.44</v>
      </c>
      <c r="G94" s="10" t="n">
        <v>50823.44</v>
      </c>
      <c r="H94" s="11">
        <f>F94-G94</f>
        <v/>
      </c>
      <c r="I94" s="9" t="inlineStr">
        <is>
          <t>отримано</t>
        </is>
      </c>
      <c r="J94" t="inlineStr">
        <is>
          <t>2026-10</t>
        </is>
      </c>
      <c r="K94" s="12" t="inlineStr"/>
    </row>
    <row r="95">
      <c r="A95" s="8" t="n">
        <v>46315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3999</v>
      </c>
      <c r="H95" s="11">
        <f>F95-G95</f>
        <v/>
      </c>
      <c r="I95" s="9" t="inlineStr">
        <is>
          <t>отримано</t>
        </is>
      </c>
      <c r="J95" t="inlineStr">
        <is>
          <t>2026-10</t>
        </is>
      </c>
      <c r="K95" s="12" t="inlineStr"/>
    </row>
    <row r="96">
      <c r="A96" s="8" t="n">
        <v>46316</v>
      </c>
      <c r="B96" s="9" t="n">
        <v>1000</v>
      </c>
      <c r="C96" s="9" t="inlineStr"/>
      <c r="D96" s="9" t="inlineStr">
        <is>
          <t>—</t>
        </is>
      </c>
      <c r="E96" s="9" t="inlineStr">
        <is>
          <t>Авансовий платіж</t>
        </is>
      </c>
      <c r="F96" s="10" t="n">
        <v>139410</v>
      </c>
      <c r="G96" s="10" t="n">
        <v>139410</v>
      </c>
      <c r="H96" s="11">
        <f>F96-G96</f>
        <v/>
      </c>
      <c r="I96" s="9" t="inlineStr">
        <is>
          <t>отримано</t>
        </is>
      </c>
      <c r="J96" t="inlineStr">
        <is>
          <t>2026-10</t>
        </is>
      </c>
      <c r="K96" s="12" t="inlineStr"/>
    </row>
    <row r="97">
      <c r="A97" s="8" t="n">
        <v>46316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Третій платіж</t>
        </is>
      </c>
      <c r="F97" s="10" t="n">
        <v>1119237.26</v>
      </c>
      <c r="G97" s="10" t="n">
        <v>1119237.26</v>
      </c>
      <c r="H97" s="11">
        <f>F97-G97</f>
        <v/>
      </c>
      <c r="I97" s="9" t="inlineStr">
        <is>
          <t>отримано</t>
        </is>
      </c>
      <c r="J97" t="inlineStr">
        <is>
          <t>2026-10</t>
        </is>
      </c>
      <c r="K97" s="12" t="inlineStr"/>
    </row>
    <row r="98">
      <c r="A98" s="8" t="n">
        <v>46316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Четвертий платіж</t>
        </is>
      </c>
      <c r="F98" s="10" t="n">
        <v>371982.96</v>
      </c>
      <c r="G98" s="10" t="n">
        <v>371982.96</v>
      </c>
      <c r="H98" s="11">
        <f>F98-G98</f>
        <v/>
      </c>
      <c r="I98" s="9" t="inlineStr">
        <is>
          <t>отримано</t>
        </is>
      </c>
      <c r="J98" t="inlineStr">
        <is>
          <t>2026-10</t>
        </is>
      </c>
      <c r="K98" s="12" t="inlineStr"/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3244120</v>
      </c>
      <c r="G99" s="10" t="n">
        <v>3244120</v>
      </c>
      <c r="H99" s="11">
        <f>F99-G99</f>
        <v/>
      </c>
      <c r="I99" s="9" t="inlineStr">
        <is>
          <t>отримано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46322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Третій платіж</t>
        </is>
      </c>
      <c r="F100" s="10" t="n">
        <v>648824</v>
      </c>
      <c r="G100" s="10" t="n">
        <v>648824</v>
      </c>
      <c r="H100" s="11">
        <f>F100-G100</f>
        <v/>
      </c>
      <c r="I100" s="9" t="inlineStr">
        <is>
          <t>отримано</t>
        </is>
      </c>
      <c r="J100" t="inlineStr">
        <is>
          <t>2026-10</t>
        </is>
      </c>
      <c r="K100" s="12" t="inlineStr">
        <is>
          <t>€12 848</t>
        </is>
      </c>
    </row>
    <row r="101">
      <c r="A101" s="8" t="n">
        <v>46324</v>
      </c>
      <c r="B101" s="9" t="n">
        <v>9698</v>
      </c>
      <c r="C101" s="9" t="inlineStr">
        <is>
          <t>26  ГШ Фундамент домобудування шт. 0 шт</t>
        </is>
      </c>
      <c r="D101" s="9" t="inlineStr">
        <is>
          <t>Донська</t>
        </is>
      </c>
      <c r="E101" s="9" t="inlineStr">
        <is>
          <t>Другий платіж</t>
        </is>
      </c>
      <c r="F101" s="10" t="n">
        <v>35830.08</v>
      </c>
      <c r="G101" s="10" t="n">
        <v>35830.08</v>
      </c>
      <c r="H101" s="11">
        <f>F101-G101</f>
        <v/>
      </c>
      <c r="I101" s="9" t="inlineStr">
        <is>
          <t>отримано</t>
        </is>
      </c>
      <c r="J101" t="inlineStr">
        <is>
          <t>2026-10</t>
        </is>
      </c>
      <c r="K101" s="12" t="inlineStr"/>
    </row>
    <row r="102">
      <c r="A102" s="8" t="n">
        <v>46329</v>
      </c>
      <c r="B102" s="9" t="n">
        <v>7244</v>
      </c>
      <c r="C102" s="9" t="inlineStr">
        <is>
          <t>В Модулекс модульна будівля Чернігів</t>
        </is>
      </c>
      <c r="D102" s="9" t="inlineStr">
        <is>
          <t>Заянчковський</t>
        </is>
      </c>
      <c r="E102" s="9" t="inlineStr">
        <is>
          <t>П'ятий платіж</t>
        </is>
      </c>
      <c r="F102" s="10" t="n">
        <v>132708.6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2026-11</t>
        </is>
      </c>
      <c r="K102" s="12" t="inlineStr"/>
    </row>
    <row r="103">
      <c r="A103" s="8" t="n">
        <v>46331</v>
      </c>
      <c r="B103" s="9" t="n">
        <v>5910</v>
      </c>
      <c r="C103" s="9" t="inlineStr">
        <is>
          <t>SGM Brdovec, Хорватия</t>
        </is>
      </c>
      <c r="D103" s="9" t="inlineStr">
        <is>
          <t>Донська</t>
        </is>
      </c>
      <c r="E103" s="9" t="inlineStr">
        <is>
          <t>Другий платіж 60%</t>
        </is>
      </c>
      <c r="F103" s="10" t="n">
        <v>16876140.5</v>
      </c>
      <c r="G103" s="10" t="n">
        <v>15646465.5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>
        <is>
          <t>€334 181</t>
        </is>
      </c>
    </row>
    <row r="104">
      <c r="A104" s="8" t="n">
        <v>46331</v>
      </c>
      <c r="B104" s="9" t="n">
        <v>5910</v>
      </c>
      <c r="C104" s="9" t="inlineStr">
        <is>
          <t>SGM Brdovec, Хорватия</t>
        </is>
      </c>
      <c r="D104" s="9" t="inlineStr">
        <is>
          <t>Донська</t>
        </is>
      </c>
      <c r="E104" s="9" t="inlineStr">
        <is>
          <t>Третій платіж</t>
        </is>
      </c>
      <c r="F104" s="10" t="n">
        <v>2812547</v>
      </c>
      <c r="G104" s="10" t="n">
        <v>1341330.5</v>
      </c>
      <c r="H104" s="11">
        <f>F104-G104</f>
        <v/>
      </c>
      <c r="I104" s="9" t="inlineStr">
        <is>
          <t>очікується</t>
        </is>
      </c>
      <c r="J104" t="inlineStr">
        <is>
          <t>2026-11</t>
        </is>
      </c>
      <c r="K104" s="12" t="inlineStr">
        <is>
          <t>€55 694</t>
        </is>
      </c>
    </row>
    <row r="105">
      <c r="A105" s="8" t="n">
        <v>46332</v>
      </c>
      <c r="B105" s="9" t="n">
        <v>4766</v>
      </c>
      <c r="C105" s="9" t="inlineStr">
        <is>
          <t>ALTECO Carport Model Taurus 280кВт</t>
        </is>
      </c>
      <c r="D105" s="9" t="inlineStr">
        <is>
          <t>Заянчковський</t>
        </is>
      </c>
      <c r="E105" s="9" t="inlineStr">
        <is>
          <t>П'ятий платіж</t>
        </is>
      </c>
      <c r="F105" s="10" t="n">
        <v>1263447.42</v>
      </c>
      <c r="G105" s="10" t="n">
        <v>1199397.83</v>
      </c>
      <c r="H105" s="11">
        <f>F105-G105</f>
        <v/>
      </c>
      <c r="I105" s="9" t="inlineStr">
        <is>
          <t>очікується</t>
        </is>
      </c>
      <c r="J105" t="inlineStr">
        <is>
          <t>2026-11</t>
        </is>
      </c>
      <c r="K105" s="12" t="inlineStr"/>
    </row>
    <row r="106">
      <c r="A106" s="8" t="n">
        <v>46332</v>
      </c>
      <c r="B106" s="9" t="n">
        <v>8497</v>
      </c>
      <c r="C106" s="9" t="inlineStr">
        <is>
          <t>LSG 110MWt   50 points</t>
        </is>
      </c>
      <c r="D106" s="9" t="inlineStr">
        <is>
          <t>Іщук</t>
        </is>
      </c>
      <c r="E106" s="9" t="inlineStr">
        <is>
          <t>Другий платіж</t>
        </is>
      </c>
      <c r="F106" s="10" t="n">
        <v>508787.5</v>
      </c>
      <c r="G106" s="10" t="n">
        <v>0</v>
      </c>
      <c r="H106" s="11">
        <f>F106-G106</f>
        <v/>
      </c>
      <c r="I106" s="9" t="inlineStr">
        <is>
          <t>очікується</t>
        </is>
      </c>
      <c r="J106" t="inlineStr">
        <is>
          <t>2026-11</t>
        </is>
      </c>
      <c r="K106" s="12" t="inlineStr">
        <is>
          <t>€10 075</t>
        </is>
      </c>
    </row>
    <row r="107">
      <c r="A107" s="8" t="n">
        <v>46334</v>
      </c>
      <c r="B107" s="9" t="n">
        <v>7894</v>
      </c>
      <c r="C107" s="9" t="inlineStr">
        <is>
          <t>SCP Фора  Хотів</t>
        </is>
      </c>
      <c r="D107" s="9" t="inlineStr">
        <is>
          <t>Донська</t>
        </is>
      </c>
      <c r="E107" s="9" t="inlineStr">
        <is>
          <t>П'ятий платіж</t>
        </is>
      </c>
      <c r="F107" s="10" t="n">
        <v>737597.4</v>
      </c>
      <c r="G107" s="10" t="n">
        <v>0</v>
      </c>
      <c r="H107" s="11">
        <f>F107-G107</f>
        <v/>
      </c>
      <c r="I107" s="9" t="inlineStr">
        <is>
          <t>очікується</t>
        </is>
      </c>
      <c r="J107" t="inlineStr">
        <is>
          <t>2026-11</t>
        </is>
      </c>
      <c r="K107" s="12" t="inlineStr"/>
    </row>
    <row r="108">
      <c r="A108" s="8" t="n">
        <v>46336</v>
      </c>
      <c r="B108" s="9" t="n">
        <v>9698</v>
      </c>
      <c r="C108" s="9" t="inlineStr">
        <is>
          <t>26  ГШ Фундамент домобудування шт. 0 шт</t>
        </is>
      </c>
      <c r="D108" s="9" t="inlineStr">
        <is>
          <t>Донська</t>
        </is>
      </c>
      <c r="E108" s="9" t="inlineStr">
        <is>
          <t>Третій платіж</t>
        </is>
      </c>
      <c r="F108" s="10" t="n">
        <v>35830.08</v>
      </c>
      <c r="G108" s="10" t="n">
        <v>0</v>
      </c>
      <c r="H108" s="11">
        <f>F108-G108</f>
        <v/>
      </c>
      <c r="I108" s="9" t="inlineStr">
        <is>
          <t>очікується</t>
        </is>
      </c>
      <c r="J108" t="inlineStr">
        <is>
          <t>2026-11</t>
        </is>
      </c>
      <c r="K108" s="12" t="inlineStr"/>
    </row>
    <row r="109">
      <c r="A109" s="8" t="n">
        <v>46342</v>
      </c>
      <c r="B109" s="9" t="n">
        <v>6352</v>
      </c>
      <c r="C109" s="9" t="inlineStr">
        <is>
          <t>АБМК SCP Blade 8PS</t>
        </is>
      </c>
      <c r="D109" s="9" t="inlineStr">
        <is>
          <t>Донська</t>
        </is>
      </c>
      <c r="E109" s="9" t="inlineStr">
        <is>
          <t>П'ятий платіж</t>
        </is>
      </c>
      <c r="F109" s="10" t="n">
        <v>651792.28</v>
      </c>
      <c r="G109" s="10" t="n">
        <v>0</v>
      </c>
      <c r="H109" s="11">
        <f>F109-G109</f>
        <v/>
      </c>
      <c r="I109" s="9" t="inlineStr">
        <is>
          <t>очікується</t>
        </is>
      </c>
      <c r="J109" t="inlineStr">
        <is>
          <t>2026-11</t>
        </is>
      </c>
      <c r="K109" s="12" t="inlineStr"/>
    </row>
    <row r="110">
      <c r="A110" s="8" t="n">
        <v>46346</v>
      </c>
      <c r="B110" s="9" t="n">
        <v>8716</v>
      </c>
      <c r="C110" s="9" t="inlineStr">
        <is>
          <t>SOLAR Наземні СЕС Київ ТОВ ССДЖЕЙ УКРАЇНА</t>
        </is>
      </c>
      <c r="D110" s="9" t="inlineStr">
        <is>
          <t>Іщук</t>
        </is>
      </c>
      <c r="E110" s="9" t="inlineStr">
        <is>
          <t>Другий платіж</t>
        </is>
      </c>
      <c r="F110" s="10" t="n">
        <v>385933.6</v>
      </c>
      <c r="G110" s="10" t="n">
        <v>0</v>
      </c>
      <c r="H110" s="11">
        <f>F110-G110</f>
        <v/>
      </c>
      <c r="I110" s="9" t="inlineStr">
        <is>
          <t>очікується</t>
        </is>
      </c>
      <c r="J110" t="inlineStr">
        <is>
          <t>2026-11</t>
        </is>
      </c>
      <c r="K110" s="12" t="inlineStr"/>
    </row>
    <row r="111">
      <c r="A111" s="8" t="n">
        <v>46356</v>
      </c>
      <c r="B111" s="9" t="n">
        <v>7508</v>
      </c>
      <c r="C111" s="9" t="inlineStr">
        <is>
          <t>8602 Євген Весільна тераса Подорожнє</t>
        </is>
      </c>
      <c r="D111" s="9" t="inlineStr">
        <is>
          <t>Заянчковський</t>
        </is>
      </c>
      <c r="E111" s="9" t="inlineStr">
        <is>
          <t>Третій платіж</t>
        </is>
      </c>
      <c r="F111" s="10" t="n">
        <v>750999.9399999999</v>
      </c>
      <c r="G111" s="10" t="n">
        <v>0</v>
      </c>
      <c r="H111" s="11">
        <f>F111-G111</f>
        <v/>
      </c>
      <c r="I111" s="9" t="inlineStr">
        <is>
          <t>очікується</t>
        </is>
      </c>
      <c r="J111" t="inlineStr">
        <is>
          <t>2026-11</t>
        </is>
      </c>
      <c r="K111" s="12" t="inlineStr"/>
    </row>
    <row r="112">
      <c r="E112" s="3" t="inlineStr">
        <is>
          <t>Разом</t>
        </is>
      </c>
      <c r="F112" s="13">
        <f>SUM(F2:F111)</f>
        <v/>
      </c>
      <c r="G112" s="13">
        <f>SUM(G2:G111)</f>
        <v/>
      </c>
      <c r="H112" s="13">
        <f>SUM(H2:H111)</f>
        <v/>
      </c>
    </row>
  </sheetData>
  <autoFilter ref="A1:I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2026-10-31T06:39:03Z</dcterms:created>
  <dcterms:modified xmlns:dcterms="http://purl.org/dc/terms/" xmlns:xsi="http://www.w3.org/2001/XMLSchema-instance" xsi:type="dcterms:W3CDTF">2026-10-31T06:39:03Z</dcterms:modified>
</cp:coreProperties>
</file>