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надходжень'!$A$1:$I$100</definedName>
    <definedName name="_xlnm._FilterDatabase" localSheetId="3" hidden="1">'Прострочені'!$A$1:$G$6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10.09.2026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46128</v>
      </c>
      <c r="B2" s="9" t="n">
        <v>8070</v>
      </c>
      <c r="C2" s="9" t="inlineStr">
        <is>
          <t>А Карпорты B2C  SCP</t>
        </is>
      </c>
      <c r="D2" s="9" t="inlineStr">
        <is>
          <t>Іщук</t>
        </is>
      </c>
      <c r="E2" s="9" t="inlineStr">
        <is>
          <t>Авансовий платіж</t>
        </is>
      </c>
      <c r="F2" s="10" t="n">
        <v>126641</v>
      </c>
      <c r="G2" s="10" t="n">
        <v>126641</v>
      </c>
      <c r="H2" s="11">
        <f>F2-G2</f>
        <v/>
      </c>
      <c r="I2" s="9" t="inlineStr">
        <is>
          <t>отримано</t>
        </is>
      </c>
      <c r="J2" t="inlineStr">
        <is>
          <t>2026-04</t>
        </is>
      </c>
      <c r="K2" s="12" t="inlineStr"/>
    </row>
    <row r="3">
      <c r="A3" s="8" t="n">
        <v>46133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Заянчковський</t>
        </is>
      </c>
      <c r="E3" s="9" t="inlineStr">
        <is>
          <t>Авансовий платіж</t>
        </is>
      </c>
      <c r="F3" s="10" t="n">
        <v>77600</v>
      </c>
      <c r="G3" s="10" t="n">
        <v>77600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46147</v>
      </c>
      <c r="B5" s="9" t="n">
        <v>3456</v>
      </c>
      <c r="C5" s="9" t="inlineStr">
        <is>
          <t>А Підселання фундаменту</t>
        </is>
      </c>
      <c r="D5" s="9" t="inlineStr">
        <is>
          <t>Донська</t>
        </is>
      </c>
      <c r="E5" s="9" t="inlineStr">
        <is>
          <t>Авансовий платіж</t>
        </is>
      </c>
      <c r="F5" s="10" t="n">
        <v>421968</v>
      </c>
      <c r="G5" s="10" t="n">
        <v>421968</v>
      </c>
      <c r="H5" s="11">
        <f>F5-G5</f>
        <v/>
      </c>
      <c r="I5" s="9" t="inlineStr">
        <is>
          <t>отримано</t>
        </is>
      </c>
      <c r="J5" t="inlineStr">
        <is>
          <t>2026-05</t>
        </is>
      </c>
      <c r="K5" s="12" t="inlineStr"/>
    </row>
    <row r="6">
      <c r="A6" s="8" t="n">
        <v>46149</v>
      </c>
      <c r="B6" s="9" t="n">
        <v>7536</v>
      </c>
      <c r="C6" s="9" t="inlineStr">
        <is>
          <t>А Ранчо “Едельвейс”  AGM  171PV</t>
        </is>
      </c>
      <c r="D6" s="9" t="inlineStr">
        <is>
          <t>Іщук</t>
        </is>
      </c>
      <c r="E6" s="9" t="inlineStr">
        <is>
          <t>Другий платіж</t>
        </is>
      </c>
      <c r="F6" s="10" t="n">
        <v>200000</v>
      </c>
      <c r="G6" s="10" t="n">
        <v>200000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46154</v>
      </c>
      <c r="B7" s="9" t="n">
        <v>8360</v>
      </c>
      <c r="C7" s="9" t="inlineStr">
        <is>
          <t>Хаджет Лебедівка</t>
        </is>
      </c>
      <c r="D7" s="9" t="inlineStr">
        <is>
          <t>Донська</t>
        </is>
      </c>
      <c r="E7" s="9" t="inlineStr">
        <is>
          <t>Авансовий платіж</t>
        </is>
      </c>
      <c r="F7" s="10" t="n">
        <v>231000</v>
      </c>
      <c r="G7" s="10" t="n">
        <v>231000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46157</v>
      </c>
      <c r="B8" s="9" t="n">
        <v>7536</v>
      </c>
      <c r="C8" s="9" t="inlineStr">
        <is>
          <t>А Ранчо “Едельвейс”  AGM  171PV</t>
        </is>
      </c>
      <c r="D8" s="9" t="inlineStr">
        <is>
          <t>Іщук</t>
        </is>
      </c>
      <c r="E8" s="9" t="inlineStr">
        <is>
          <t>Третій платіж</t>
        </is>
      </c>
      <c r="F8" s="10" t="n">
        <v>200000</v>
      </c>
      <c r="G8" s="10" t="n">
        <v>200000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46160</v>
      </c>
      <c r="B9" s="9" t="n">
        <v>8008</v>
      </c>
      <c r="C9" s="9" t="inlineStr">
        <is>
          <t>Модулі Григорівка</t>
        </is>
      </c>
      <c r="D9" s="9" t="inlineStr">
        <is>
          <t>Донська</t>
        </is>
      </c>
      <c r="E9" s="9" t="inlineStr">
        <is>
          <t>Авансовий платіж</t>
        </is>
      </c>
      <c r="F9" s="10" t="n">
        <v>430850.64</v>
      </c>
      <c r="G9" s="10" t="n">
        <v>430850.64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46161</v>
      </c>
      <c r="B10" s="9" t="n">
        <v>5870</v>
      </c>
      <c r="C10" s="9" t="inlineStr">
        <is>
          <t>Carport Airport Munich</t>
        </is>
      </c>
      <c r="D10" s="9" t="inlineStr">
        <is>
          <t>Хома</t>
        </is>
      </c>
      <c r="E10" s="9" t="inlineStr">
        <is>
          <t>Авансовий платіж</t>
        </is>
      </c>
      <c r="F10" s="10" t="n">
        <v>2599500</v>
      </c>
      <c r="G10" s="10" t="n">
        <v>2599500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>
        <is>
          <t>€50 000</t>
        </is>
      </c>
    </row>
    <row r="11">
      <c r="A11" s="8" t="n">
        <v>46161</v>
      </c>
      <c r="B11" s="9" t="n">
        <v>6704</v>
      </c>
      <c r="C11" s="9" t="inlineStr">
        <is>
          <t>SCP Taurus 236PS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5199000</v>
      </c>
      <c r="G11" s="10" t="n">
        <v>5199000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€100 000</t>
        </is>
      </c>
    </row>
    <row r="12">
      <c r="A12" s="8" t="n">
        <v>46161</v>
      </c>
      <c r="B12" s="9" t="n">
        <v>7068</v>
      </c>
      <c r="C12" s="9" t="inlineStr">
        <is>
          <t>А Remtec energy  AGM  160 TP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2416856</v>
      </c>
      <c r="G12" s="10" t="n">
        <v>2416856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2011000</v>
      </c>
      <c r="G15" s="10" t="n">
        <v>2011000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8360</v>
      </c>
      <c r="C38" s="9" t="inlineStr">
        <is>
          <t>Хаджет Лебедівка</t>
        </is>
      </c>
      <c r="D38" s="9" t="inlineStr">
        <is>
          <t>Донська</t>
        </is>
      </c>
      <c r="E38" s="9" t="inlineStr">
        <is>
          <t>Третій платіж</t>
        </is>
      </c>
      <c r="F38" s="10" t="n">
        <v>95968.3</v>
      </c>
      <c r="G38" s="10" t="n">
        <v>95968.3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46202</v>
      </c>
      <c r="B39" s="9" t="n">
        <v>6704</v>
      </c>
      <c r="C39" s="9" t="inlineStr">
        <is>
          <t>SCP Taurus 236PS</t>
        </is>
      </c>
      <c r="D39" s="9" t="inlineStr">
        <is>
          <t>Хома</t>
        </is>
      </c>
      <c r="E39" s="9" t="inlineStr">
        <is>
          <t>Другий платіж</t>
        </is>
      </c>
      <c r="F39" s="10" t="n">
        <v>1871640</v>
      </c>
      <c r="G39" s="10" t="n">
        <v>1871640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>
        <is>
          <t>€36 000</t>
        </is>
      </c>
    </row>
    <row r="40">
      <c r="A40" s="8" t="n">
        <v>46204</v>
      </c>
      <c r="B40" s="9" t="n">
        <v>4766</v>
      </c>
      <c r="C40" s="9" t="inlineStr">
        <is>
          <t>ALTECO Carport Model Taurus 280кВт</t>
        </is>
      </c>
      <c r="D40" s="9" t="inlineStr">
        <is>
          <t>Заянчковський</t>
        </is>
      </c>
      <c r="E40" s="9" t="inlineStr">
        <is>
          <t>Авансовий платіж</t>
        </is>
      </c>
      <c r="F40" s="10" t="n">
        <v>20000</v>
      </c>
      <c r="G40" s="10" t="n">
        <v>20000</v>
      </c>
      <c r="H40" s="11">
        <f>F40-G40</f>
        <v/>
      </c>
      <c r="I40" s="9" t="inlineStr">
        <is>
          <t>отримано</t>
        </is>
      </c>
      <c r="J40" t="inlineStr">
        <is>
          <t>2026-07</t>
        </is>
      </c>
      <c r="K40" s="12" t="inlineStr"/>
    </row>
    <row r="41">
      <c r="A41" s="8" t="n">
        <v>46209</v>
      </c>
      <c r="B41" s="9" t="n">
        <v>8878</v>
      </c>
      <c r="C41" s="9" t="inlineStr">
        <is>
          <t>А ТОВ КОМПАНІЯ ВОЛЬТ СЕРВІС ГРУП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410320</v>
      </c>
      <c r="G41" s="10" t="n">
        <v>410320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46210</v>
      </c>
      <c r="B42" s="9" t="n">
        <v>8008</v>
      </c>
      <c r="C42" s="9" t="inlineStr">
        <is>
          <t>Модулі Григорівка</t>
        </is>
      </c>
      <c r="D42" s="9" t="inlineStr">
        <is>
          <t>Донська</t>
        </is>
      </c>
      <c r="E42" s="9" t="inlineStr">
        <is>
          <t>Третій платіж</t>
        </is>
      </c>
      <c r="F42" s="10" t="n">
        <v>178088.4</v>
      </c>
      <c r="G42" s="10" t="n">
        <v>178088.4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46213</v>
      </c>
      <c r="B43" s="9" t="n">
        <v>8454</v>
      </c>
      <c r="C43" s="9" t="inlineStr">
        <is>
          <t>Олександр каркасний Верховина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69666</v>
      </c>
      <c r="G43" s="10" t="n">
        <v>69666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46216</v>
      </c>
      <c r="B44" s="9" t="n">
        <v>8496</v>
      </c>
      <c r="C44" s="9" t="inlineStr">
        <is>
          <t>А Greensource  SGM  110MWp</t>
        </is>
      </c>
      <c r="D44" s="9" t="inlineStr">
        <is>
          <t>Іщук</t>
        </is>
      </c>
      <c r="E44" s="9" t="inlineStr">
        <is>
          <t>Авансовий платіж</t>
        </is>
      </c>
      <c r="F44" s="10" t="n">
        <v>457512</v>
      </c>
      <c r="G44" s="10" t="n">
        <v>457512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>
        <is>
          <t>€8 800</t>
        </is>
      </c>
    </row>
    <row r="45">
      <c r="A45" s="8" t="n">
        <v>46216</v>
      </c>
      <c r="B45" s="9" t="n">
        <v>8898</v>
      </c>
      <c r="C45" s="9" t="inlineStr">
        <is>
          <t>Григорівка №3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290403.65</v>
      </c>
      <c r="G45" s="10" t="n">
        <v>290403.65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46217</v>
      </c>
      <c r="B46" s="9" t="n">
        <v>4766</v>
      </c>
      <c r="C46" s="9" t="inlineStr">
        <is>
          <t>ALTECO Carport Model Taurus 280кВт</t>
        </is>
      </c>
      <c r="D46" s="9" t="inlineStr">
        <is>
          <t>Заянчковський</t>
        </is>
      </c>
      <c r="E46" s="9" t="inlineStr">
        <is>
          <t>Другий платіж</t>
        </is>
      </c>
      <c r="F46" s="10" t="n">
        <v>100000</v>
      </c>
      <c r="G46" s="10" t="n">
        <v>100000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63313.4</v>
      </c>
      <c r="G47" s="10" t="n">
        <v>63313.4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46219</v>
      </c>
      <c r="B49" s="9" t="n">
        <v>6352</v>
      </c>
      <c r="C49" s="9" t="inlineStr">
        <is>
          <t>АБМК SCP Blade 8PS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80000.03999999999</v>
      </c>
      <c r="G49" s="10" t="n">
        <v>80000.03999999999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7002</v>
      </c>
      <c r="C50" s="9" t="inlineStr">
        <is>
          <t>Фора SCP Млиново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126896.64</v>
      </c>
      <c r="G50" s="10" t="n">
        <v>126896.64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Четвертий платіж</t>
        </is>
      </c>
      <c r="F52" s="10" t="n">
        <v>573945</v>
      </c>
      <c r="G52" s="10" t="n">
        <v>573945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46224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Третій платіж</t>
        </is>
      </c>
      <c r="F53" s="10" t="n">
        <v>4368478.98</v>
      </c>
      <c r="G53" s="10" t="n">
        <v>4368478.98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5910</v>
      </c>
      <c r="C54" s="9" t="inlineStr">
        <is>
          <t>SGM Brdovec, Хорватия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8687009.1</v>
      </c>
      <c r="G54" s="10" t="n">
        <v>8687009.1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>
        <is>
          <t>€167 090</t>
        </is>
      </c>
    </row>
    <row r="55">
      <c r="A55" s="8" t="n">
        <v>46230</v>
      </c>
      <c r="B55" s="9" t="n">
        <v>6312</v>
      </c>
      <c r="C55" s="9" t="inlineStr">
        <is>
          <t>-26 ГШ Фундамент домобудування Георгій</t>
        </is>
      </c>
      <c r="D55" s="9" t="inlineStr">
        <is>
          <t>Заянчковський</t>
        </is>
      </c>
      <c r="E55" s="9" t="inlineStr">
        <is>
          <t>Авансовий платіж</t>
        </is>
      </c>
      <c r="F55" s="10" t="n">
        <v>543429</v>
      </c>
      <c r="G55" s="10" t="n">
        <v>543429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6130</v>
      </c>
      <c r="C56" s="9" t="inlineStr">
        <is>
          <t>-26 ГШ Фундамент домобудування Євро Простір Марія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56056</v>
      </c>
      <c r="G56" s="10" t="n">
        <v>56056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6704</v>
      </c>
      <c r="C57" s="9" t="inlineStr">
        <is>
          <t>SCP Taurus 236PS</t>
        </is>
      </c>
      <c r="D57" s="9" t="inlineStr">
        <is>
          <t>Хома</t>
        </is>
      </c>
      <c r="E57" s="9" t="inlineStr">
        <is>
          <t>Третій платіж</t>
        </is>
      </c>
      <c r="F57" s="10" t="n">
        <v>4091613</v>
      </c>
      <c r="G57" s="10" t="n">
        <v>4091613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>
        <is>
          <t>€78 700</t>
        </is>
      </c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46237</v>
      </c>
      <c r="B60" s="9" t="n">
        <v>6024</v>
      </c>
      <c r="C60" s="9" t="inlineStr">
        <is>
          <t>-26 ГШ с. Липовиця Черніг. обл. Модулекс</t>
        </is>
      </c>
      <c r="D60" s="9" t="inlineStr">
        <is>
          <t>Заянчковський</t>
        </is>
      </c>
      <c r="E60" s="9" t="inlineStr">
        <is>
          <t>Авансовий платіж</t>
        </is>
      </c>
      <c r="F60" s="10" t="n">
        <v>201600</v>
      </c>
      <c r="G60" s="10" t="n">
        <v>201600</v>
      </c>
      <c r="H60" s="11">
        <f>F60-G60</f>
        <v/>
      </c>
      <c r="I60" s="9" t="inlineStr">
        <is>
          <t>отримано</t>
        </is>
      </c>
      <c r="J60" t="inlineStr">
        <is>
          <t>2026-08</t>
        </is>
      </c>
      <c r="K60" s="12" t="inlineStr"/>
    </row>
    <row r="61">
      <c r="A61" s="8" t="n">
        <v>46237</v>
      </c>
      <c r="B61" s="9" t="n">
        <v>6130</v>
      </c>
      <c r="C61" s="9" t="inlineStr">
        <is>
          <t>-26 ГШ Фундамент домобудування Євро Простір Марія</t>
        </is>
      </c>
      <c r="D61" s="9" t="inlineStr">
        <is>
          <t>Заянчковський</t>
        </is>
      </c>
      <c r="E61" s="9" t="inlineStr">
        <is>
          <t>Четвертий платіж</t>
        </is>
      </c>
      <c r="F61" s="10" t="n">
        <v>36665</v>
      </c>
      <c r="G61" s="10" t="n">
        <v>36665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46237</v>
      </c>
      <c r="B62" s="9" t="n">
        <v>6352</v>
      </c>
      <c r="C62" s="9" t="inlineStr">
        <is>
          <t>АБМК SCP Blade 8PS</t>
        </is>
      </c>
      <c r="D62" s="9" t="inlineStr">
        <is>
          <t>Донська</t>
        </is>
      </c>
      <c r="E62" s="9" t="inlineStr">
        <is>
          <t>Другий платіж</t>
        </is>
      </c>
      <c r="F62" s="10" t="n">
        <v>1399046.58</v>
      </c>
      <c r="G62" s="10" t="n">
        <v>1399046.58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4766</v>
      </c>
      <c r="C63" s="9" t="inlineStr">
        <is>
          <t>ALTECO Carport Model Taurus 280кВт</t>
        </is>
      </c>
      <c r="D63" s="9" t="inlineStr">
        <is>
          <t>Заянчковський</t>
        </is>
      </c>
      <c r="E63" s="9" t="inlineStr">
        <is>
          <t>Четвертий платіж</t>
        </is>
      </c>
      <c r="F63" s="10" t="n">
        <v>64050</v>
      </c>
      <c r="G63" s="10" t="n">
        <v>64050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46238</v>
      </c>
      <c r="B64" s="9" t="n">
        <v>8188</v>
      </c>
      <c r="C64" s="9" t="inlineStr">
        <is>
          <t>Фундамент Ужгород Стефанія</t>
        </is>
      </c>
      <c r="D64" s="9" t="inlineStr">
        <is>
          <t>Іщук</t>
        </is>
      </c>
      <c r="E64" s="9" t="inlineStr">
        <is>
          <t>Другий платіж</t>
        </is>
      </c>
      <c r="F64" s="10" t="n">
        <v>73926</v>
      </c>
      <c r="G64" s="10" t="n">
        <v>75926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/>
    </row>
    <row r="65">
      <c r="A65" s="8" t="n">
        <v>46239</v>
      </c>
      <c r="B65" s="9" t="n">
        <v>6130</v>
      </c>
      <c r="C65" s="9" t="inlineStr">
        <is>
          <t>-26 ГШ Фундамент домобудування Євро Простір Марія</t>
        </is>
      </c>
      <c r="D65" s="9" t="inlineStr">
        <is>
          <t>Заянчковський</t>
        </is>
      </c>
      <c r="E65" s="9" t="inlineStr">
        <is>
          <t>П'ятий платіж</t>
        </is>
      </c>
      <c r="F65" s="10" t="n">
        <v>73335</v>
      </c>
      <c r="G65" s="10" t="n">
        <v>73335</v>
      </c>
      <c r="H65" s="11">
        <f>F65-G65</f>
        <v/>
      </c>
      <c r="I65" s="9" t="inlineStr">
        <is>
          <t>отримано</t>
        </is>
      </c>
      <c r="J65" t="inlineStr">
        <is>
          <t>2026-08</t>
        </is>
      </c>
      <c r="K65" s="12" t="inlineStr"/>
    </row>
    <row r="66">
      <c r="A66" s="8" t="n">
        <v>46240</v>
      </c>
      <c r="B66" s="9" t="n">
        <v>5870</v>
      </c>
      <c r="C66" s="9" t="inlineStr">
        <is>
          <t>Carport Airport Munich</t>
        </is>
      </c>
      <c r="D66" s="9" t="inlineStr">
        <is>
          <t>Хома</t>
        </is>
      </c>
      <c r="E66" s="9" t="inlineStr">
        <is>
          <t>Другий платіж</t>
        </is>
      </c>
      <c r="F66" s="10" t="n">
        <v>4976742.75</v>
      </c>
      <c r="G66" s="10" t="n">
        <v>4976742.75</v>
      </c>
      <c r="H66" s="11">
        <f>F66-G66</f>
        <v/>
      </c>
      <c r="I66" s="9" t="inlineStr">
        <is>
          <t>отримано</t>
        </is>
      </c>
      <c r="J66" t="inlineStr">
        <is>
          <t>2026-08</t>
        </is>
      </c>
      <c r="K66" s="12" t="inlineStr">
        <is>
          <t>€95 725</t>
        </is>
      </c>
    </row>
    <row r="67">
      <c r="A67" s="8" t="n">
        <v>46241</v>
      </c>
      <c r="B67" s="9" t="n">
        <v>5870</v>
      </c>
      <c r="C67" s="9" t="inlineStr">
        <is>
          <t>Carport Airport Munich</t>
        </is>
      </c>
      <c r="D67" s="9" t="inlineStr">
        <is>
          <t>Хома</t>
        </is>
      </c>
      <c r="E67" s="9" t="inlineStr">
        <is>
          <t>Третій платіж</t>
        </is>
      </c>
      <c r="F67" s="10" t="n">
        <v>757754.25</v>
      </c>
      <c r="G67" s="10" t="n">
        <v>757754.25</v>
      </c>
      <c r="H67" s="11">
        <f>F67-G67</f>
        <v/>
      </c>
      <c r="I67" s="9" t="inlineStr">
        <is>
          <t>отримано</t>
        </is>
      </c>
      <c r="J67" t="inlineStr">
        <is>
          <t>2026-08</t>
        </is>
      </c>
      <c r="K67" s="12" t="inlineStr">
        <is>
          <t>€14 575</t>
        </is>
      </c>
    </row>
    <row r="68">
      <c r="A68" s="8" t="n">
        <v>46244</v>
      </c>
      <c r="B68" s="9" t="n">
        <v>6824</v>
      </c>
      <c r="C68" s="9" t="inlineStr">
        <is>
          <t>SOLAR Карпорти 2</t>
        </is>
      </c>
      <c r="D68" s="9" t="inlineStr">
        <is>
          <t>Хома</t>
        </is>
      </c>
      <c r="E68" s="9" t="inlineStr">
        <is>
          <t>Авансовий платіж</t>
        </is>
      </c>
      <c r="F68" s="10" t="n">
        <v>149710</v>
      </c>
      <c r="G68" s="10" t="n">
        <v>149710</v>
      </c>
      <c r="H68" s="11">
        <f>F68-G68</f>
        <v/>
      </c>
      <c r="I68" s="9" t="inlineStr">
        <is>
          <t>отримано</t>
        </is>
      </c>
      <c r="J68" t="inlineStr">
        <is>
          <t>2026-08</t>
        </is>
      </c>
      <c r="K68" s="12" t="inlineStr"/>
    </row>
    <row r="69">
      <c r="A69" s="8" t="n">
        <v>46253</v>
      </c>
      <c r="B69" s="9" t="n">
        <v>5904</v>
      </c>
      <c r="C69" s="9" t="inlineStr">
        <is>
          <t>SOLAR Карпорти шт. 10 шт. 0.03 Мвт SIA Realcom</t>
        </is>
      </c>
      <c r="D69" s="9" t="inlineStr">
        <is>
          <t>Хома</t>
        </is>
      </c>
      <c r="E69" s="9" t="inlineStr">
        <is>
          <t>Авансовий платіж</t>
        </is>
      </c>
      <c r="F69" s="10" t="n">
        <v>562271.85</v>
      </c>
      <c r="G69" s="10" t="n">
        <v>562271.85</v>
      </c>
      <c r="H69" s="11">
        <f>F69-G69</f>
        <v/>
      </c>
      <c r="I69" s="9" t="inlineStr">
        <is>
          <t>отримано</t>
        </is>
      </c>
      <c r="J69" t="inlineStr">
        <is>
          <t>2026-08</t>
        </is>
      </c>
      <c r="K69" s="12" t="inlineStr">
        <is>
          <t>€10 815</t>
        </is>
      </c>
    </row>
    <row r="70">
      <c r="A70" s="8" t="n">
        <v>46255</v>
      </c>
      <c r="B70" s="9" t="n">
        <v>7414</v>
      </c>
      <c r="C70" s="9" t="inlineStr">
        <is>
          <t>-26 ГШ Фундамент домобудування Володимир</t>
        </is>
      </c>
      <c r="D70" s="9" t="inlineStr">
        <is>
          <t>Заянчковський</t>
        </is>
      </c>
      <c r="E70" s="9" t="inlineStr">
        <is>
          <t>Авансовий платіж</t>
        </is>
      </c>
      <c r="F70" s="10" t="n">
        <v>94000</v>
      </c>
      <c r="G70" s="10" t="n">
        <v>94000</v>
      </c>
      <c r="H70" s="11">
        <f>F70-G70</f>
        <v/>
      </c>
      <c r="I70" s="9" t="inlineStr">
        <is>
          <t>отримано</t>
        </is>
      </c>
      <c r="J70" t="inlineStr">
        <is>
          <t>2026-08</t>
        </is>
      </c>
      <c r="K70" s="12" t="inlineStr"/>
    </row>
    <row r="71">
      <c r="A71" s="8" t="n">
        <v>46255</v>
      </c>
      <c r="B71" s="9" t="n">
        <v>7894</v>
      </c>
      <c r="C71" s="9" t="inlineStr">
        <is>
          <t>SCP Фора  Хотів</t>
        </is>
      </c>
      <c r="D71" s="9" t="inlineStr">
        <is>
          <t>Донська</t>
        </is>
      </c>
      <c r="E71" s="9" t="inlineStr">
        <is>
          <t>Другий платіж</t>
        </is>
      </c>
      <c r="F71" s="10" t="n">
        <v>185968</v>
      </c>
      <c r="G71" s="10" t="n">
        <v>185968</v>
      </c>
      <c r="H71" s="11">
        <f>F71-G71</f>
        <v/>
      </c>
      <c r="I71" s="9" t="inlineStr">
        <is>
          <t>отримано</t>
        </is>
      </c>
      <c r="J71" t="inlineStr">
        <is>
          <t>2026-08</t>
        </is>
      </c>
      <c r="K71" s="12" t="inlineStr"/>
    </row>
    <row r="72">
      <c r="A72" s="8" t="n">
        <v>46255</v>
      </c>
      <c r="B72" s="9" t="n">
        <v>7894</v>
      </c>
      <c r="C72" s="9" t="inlineStr">
        <is>
          <t>SCP Фора  Хотів</t>
        </is>
      </c>
      <c r="D72" s="9" t="inlineStr">
        <is>
          <t>Донська</t>
        </is>
      </c>
      <c r="E72" s="9" t="inlineStr">
        <is>
          <t>Третій платіж</t>
        </is>
      </c>
      <c r="F72" s="10" t="n">
        <v>185967.99</v>
      </c>
      <c r="G72" s="10" t="n">
        <v>185967.99</v>
      </c>
      <c r="H72" s="11">
        <f>F72-G72</f>
        <v/>
      </c>
      <c r="I72" s="9" t="inlineStr">
        <is>
          <t>отримано</t>
        </is>
      </c>
      <c r="J72" t="inlineStr">
        <is>
          <t>2026-08</t>
        </is>
      </c>
      <c r="K72" s="12" t="inlineStr"/>
    </row>
    <row r="73">
      <c r="A73" s="8" t="n">
        <v>46255</v>
      </c>
      <c r="B73" s="9" t="n">
        <v>7894</v>
      </c>
      <c r="C73" s="9" t="inlineStr">
        <is>
          <t>SCP Фора  Хотів</t>
        </is>
      </c>
      <c r="D73" s="9" t="inlineStr">
        <is>
          <t>Донська</t>
        </is>
      </c>
      <c r="E73" s="9" t="inlineStr">
        <is>
          <t>Четвертий платіж</t>
        </is>
      </c>
      <c r="F73" s="10" t="n">
        <v>737597.4</v>
      </c>
      <c r="G73" s="10" t="n">
        <v>737597.4</v>
      </c>
      <c r="H73" s="11">
        <f>F73-G73</f>
        <v/>
      </c>
      <c r="I73" s="9" t="inlineStr">
        <is>
          <t>отримано</t>
        </is>
      </c>
      <c r="J73" t="inlineStr">
        <is>
          <t>2026-08</t>
        </is>
      </c>
      <c r="K73" s="12" t="inlineStr"/>
    </row>
    <row r="74">
      <c r="A74" s="8" t="n">
        <v>46255</v>
      </c>
      <c r="B74" s="9" t="n">
        <v>8898</v>
      </c>
      <c r="C74" s="9" t="inlineStr">
        <is>
          <t>Григорівка №3</t>
        </is>
      </c>
      <c r="D74" s="9" t="inlineStr">
        <is>
          <t>Донська</t>
        </is>
      </c>
      <c r="E74" s="9" t="inlineStr">
        <is>
          <t>Другий платіж</t>
        </is>
      </c>
      <c r="F74" s="10" t="n">
        <v>188043.75</v>
      </c>
      <c r="G74" s="10" t="n">
        <v>188043.75</v>
      </c>
      <c r="H74" s="11">
        <f>F74-G74</f>
        <v/>
      </c>
      <c r="I74" s="9" t="inlineStr">
        <is>
          <t>отримано</t>
        </is>
      </c>
      <c r="J74" t="inlineStr">
        <is>
          <t>2026-08</t>
        </is>
      </c>
      <c r="K74" s="12" t="inlineStr"/>
    </row>
    <row r="75">
      <c r="A75" s="8" t="n">
        <v>46260</v>
      </c>
      <c r="B75" s="9" t="n">
        <v>6406</v>
      </c>
      <c r="C75" s="9" t="inlineStr">
        <is>
          <t>Максим Яловий Чинадієво</t>
        </is>
      </c>
      <c r="D75" s="9" t="inlineStr">
        <is>
          <t>Іщук</t>
        </is>
      </c>
      <c r="E75" s="9" t="inlineStr">
        <is>
          <t>Другий платіж</t>
        </is>
      </c>
      <c r="F75" s="10" t="n">
        <v>218602</v>
      </c>
      <c r="G75" s="10" t="n">
        <v>170788</v>
      </c>
      <c r="H75" s="11">
        <f>F75-G75</f>
        <v/>
      </c>
      <c r="I75" s="9" t="inlineStr">
        <is>
          <t>прострочено</t>
        </is>
      </c>
      <c r="J75" t="inlineStr">
        <is>
          <t>2026-08</t>
        </is>
      </c>
      <c r="K75" s="12" t="inlineStr"/>
    </row>
    <row r="76">
      <c r="A76" s="8" t="n">
        <v>46265</v>
      </c>
      <c r="B76" s="9" t="n">
        <v>8878</v>
      </c>
      <c r="C76" s="9" t="inlineStr">
        <is>
          <t>А ТОВ КОМПАНІЯ ВОЛЬТ СЕРВІС ГРУП</t>
        </is>
      </c>
      <c r="D76" s="9" t="inlineStr">
        <is>
          <t>Заянчковський</t>
        </is>
      </c>
      <c r="E76" s="9" t="inlineStr">
        <is>
          <t>П'ятий платіж</t>
        </is>
      </c>
      <c r="F76" s="10" t="n">
        <v>12823</v>
      </c>
      <c r="G76" s="10" t="n">
        <v>12823</v>
      </c>
      <c r="H76" s="11">
        <f>F76-G76</f>
        <v/>
      </c>
      <c r="I76" s="9" t="inlineStr">
        <is>
          <t>отримано</t>
        </is>
      </c>
      <c r="J76" t="inlineStr">
        <is>
          <t>2026-08</t>
        </is>
      </c>
      <c r="K76" s="12" t="inlineStr"/>
    </row>
    <row r="77">
      <c r="A77" s="8" t="n">
        <v>46268</v>
      </c>
      <c r="B77" s="9" t="n">
        <v>6356</v>
      </c>
      <c r="C77" s="9" t="inlineStr">
        <is>
          <t>-26 SOLAR Наземні СЕС 3 Kirill Trokhin</t>
        </is>
      </c>
      <c r="D77" s="9" t="inlineStr">
        <is>
          <t>Хома</t>
        </is>
      </c>
      <c r="E77" s="9" t="inlineStr">
        <is>
          <t>Авансовий платіж</t>
        </is>
      </c>
      <c r="F77" s="10" t="n">
        <v>2831167.44</v>
      </c>
      <c r="G77" s="10" t="n">
        <v>2831167.44</v>
      </c>
      <c r="H77" s="11">
        <f>F77-G77</f>
        <v/>
      </c>
      <c r="I77" s="9" t="inlineStr">
        <is>
          <t>отримано</t>
        </is>
      </c>
      <c r="J77" t="inlineStr">
        <is>
          <t>2026-09</t>
        </is>
      </c>
      <c r="K77" s="12" t="inlineStr">
        <is>
          <t>€54 456</t>
        </is>
      </c>
    </row>
    <row r="78">
      <c r="A78" s="8" t="n">
        <v>46268</v>
      </c>
      <c r="B78" s="9" t="n">
        <v>7414</v>
      </c>
      <c r="C78" s="9" t="inlineStr">
        <is>
          <t>-26 ГШ Фундамент домобудування Володимир</t>
        </is>
      </c>
      <c r="D78" s="9" t="inlineStr">
        <is>
          <t>Заянчковський</t>
        </is>
      </c>
      <c r="E78" s="9" t="inlineStr">
        <is>
          <t>Другий платіж</t>
        </is>
      </c>
      <c r="F78" s="10" t="n">
        <v>13349.1</v>
      </c>
      <c r="G78" s="10" t="n">
        <v>13349.1</v>
      </c>
      <c r="H78" s="11">
        <f>F78-G78</f>
        <v/>
      </c>
      <c r="I78" s="9" t="inlineStr">
        <is>
          <t>отримано</t>
        </is>
      </c>
      <c r="J78" t="inlineStr">
        <is>
          <t>2026-09</t>
        </is>
      </c>
      <c r="K78" s="12" t="inlineStr"/>
    </row>
    <row r="79">
      <c r="A79" s="8" t="n">
        <v>46272</v>
      </c>
      <c r="B79" s="9" t="n">
        <v>8497</v>
      </c>
      <c r="C79" s="9" t="inlineStr">
        <is>
          <t>LSG 110MWt   50 points</t>
        </is>
      </c>
      <c r="D79" s="9" t="inlineStr">
        <is>
          <t>Іщук</t>
        </is>
      </c>
      <c r="E79" s="9" t="inlineStr">
        <is>
          <t>Авансовий платіж</t>
        </is>
      </c>
      <c r="F79" s="10" t="n">
        <v>1571397.75</v>
      </c>
      <c r="G79" s="10" t="n">
        <v>1571397.75</v>
      </c>
      <c r="H79" s="11">
        <f>F79-G79</f>
        <v/>
      </c>
      <c r="I79" s="9" t="inlineStr">
        <is>
          <t>отримано</t>
        </is>
      </c>
      <c r="J79" t="inlineStr">
        <is>
          <t>2026-09</t>
        </is>
      </c>
      <c r="K79" s="12" t="inlineStr">
        <is>
          <t>€30 225</t>
        </is>
      </c>
    </row>
    <row r="80">
      <c r="A80" s="8" t="n">
        <v>46274</v>
      </c>
      <c r="B80" s="9" t="n">
        <v>3456</v>
      </c>
      <c r="C80" s="9" t="inlineStr">
        <is>
          <t>А Підселання фундаменту</t>
        </is>
      </c>
      <c r="D80" s="9" t="inlineStr">
        <is>
          <t>Донська</t>
        </is>
      </c>
      <c r="E80" s="9" t="inlineStr">
        <is>
          <t>Третій платіж</t>
        </is>
      </c>
      <c r="F80" s="10" t="n">
        <v>335974.68</v>
      </c>
      <c r="G80" s="10" t="n">
        <v>0</v>
      </c>
      <c r="H80" s="11">
        <f>F80-G80</f>
        <v/>
      </c>
      <c r="I80" s="9" t="inlineStr">
        <is>
          <t>прострочено</t>
        </is>
      </c>
      <c r="J80" t="inlineStr">
        <is>
          <t>2026-09</t>
        </is>
      </c>
      <c r="K80" s="12" t="inlineStr"/>
    </row>
    <row r="81">
      <c r="A81" s="8" t="n">
        <v>46274</v>
      </c>
      <c r="B81" s="9" t="n">
        <v>5870</v>
      </c>
      <c r="C81" s="9" t="inlineStr">
        <is>
          <t>Carport Airport Munich</t>
        </is>
      </c>
      <c r="D81" s="9" t="inlineStr">
        <is>
          <t>Хома</t>
        </is>
      </c>
      <c r="E81" s="9" t="inlineStr">
        <is>
          <t>Четвертий платіж</t>
        </is>
      </c>
      <c r="F81" s="10" t="n">
        <v>909825</v>
      </c>
      <c r="G81" s="10" t="n">
        <v>0</v>
      </c>
      <c r="H81" s="11">
        <f>F81-G81</f>
        <v/>
      </c>
      <c r="I81" s="9" t="inlineStr">
        <is>
          <t>прострочено</t>
        </is>
      </c>
      <c r="J81" t="inlineStr">
        <is>
          <t>2026-09</t>
        </is>
      </c>
      <c r="K81" s="12" t="inlineStr">
        <is>
          <t>€17 500</t>
        </is>
      </c>
    </row>
    <row r="82">
      <c r="A82" s="8" t="n">
        <v>46275</v>
      </c>
      <c r="B82" s="9" t="n">
        <v>7002</v>
      </c>
      <c r="C82" s="9" t="inlineStr">
        <is>
          <t>Фора SCP Млиново</t>
        </is>
      </c>
      <c r="D82" s="9" t="inlineStr">
        <is>
          <t>Донська</t>
        </is>
      </c>
      <c r="E82" s="9" t="inlineStr">
        <is>
          <t>П'ятий платіж</t>
        </is>
      </c>
      <c r="F82" s="10" t="n">
        <v>573945</v>
      </c>
      <c r="G82" s="10" t="n">
        <v>0</v>
      </c>
      <c r="H82" s="11">
        <f>F82-G82</f>
        <v/>
      </c>
      <c r="I82" s="9" t="inlineStr">
        <is>
          <t>прострочено</t>
        </is>
      </c>
      <c r="J82" t="inlineStr">
        <is>
          <t>2026-09</t>
        </is>
      </c>
      <c r="K82" s="12" t="inlineStr"/>
    </row>
    <row r="83">
      <c r="A83" s="8" t="n">
        <v>46275</v>
      </c>
      <c r="B83" s="9" t="n">
        <v>7002</v>
      </c>
      <c r="C83" s="9" t="inlineStr">
        <is>
          <t>Фора SCP Млиново</t>
        </is>
      </c>
      <c r="D83" s="9" t="inlineStr">
        <is>
          <t>Донська</t>
        </is>
      </c>
      <c r="E83" s="9" t="inlineStr">
        <is>
          <t>Шостий платіж (Допка)</t>
        </is>
      </c>
      <c r="F83" s="10" t="n">
        <v>257000</v>
      </c>
      <c r="G83" s="10" t="n">
        <v>0</v>
      </c>
      <c r="H83" s="11">
        <f>F83-G83</f>
        <v/>
      </c>
      <c r="I83" s="9" t="inlineStr">
        <is>
          <t>прострочено</t>
        </is>
      </c>
      <c r="J83" t="inlineStr">
        <is>
          <t>2026-09</t>
        </is>
      </c>
      <c r="K83" s="12" t="inlineStr"/>
    </row>
    <row r="84">
      <c r="A84" s="8" t="n">
        <v>46280</v>
      </c>
      <c r="B84" s="9" t="n">
        <v>8898</v>
      </c>
      <c r="C84" s="9" t="inlineStr">
        <is>
          <t>Григорівка №3</t>
        </is>
      </c>
      <c r="D84" s="9" t="inlineStr">
        <is>
          <t>Донська</t>
        </is>
      </c>
      <c r="E84" s="9" t="inlineStr">
        <is>
          <t>Третій платіж</t>
        </is>
      </c>
      <c r="F84" s="10" t="n">
        <v>188043.75</v>
      </c>
      <c r="G84" s="10" t="n">
        <v>0</v>
      </c>
      <c r="H84" s="11">
        <f>F84-G84</f>
        <v/>
      </c>
      <c r="I84" s="9" t="inlineStr">
        <is>
          <t>очікується</t>
        </is>
      </c>
      <c r="J84" t="inlineStr">
        <is>
          <t>2026-09</t>
        </is>
      </c>
      <c r="K84" s="12" t="inlineStr"/>
    </row>
    <row r="85">
      <c r="A85" s="8" t="n">
        <v>46283</v>
      </c>
      <c r="B85" s="9" t="n">
        <v>4766</v>
      </c>
      <c r="C85" s="9" t="inlineStr">
        <is>
          <t>ALTECO Carport Model Taurus 280кВт</t>
        </is>
      </c>
      <c r="D85" s="9" t="inlineStr">
        <is>
          <t>Заянчковський</t>
        </is>
      </c>
      <c r="E85" s="9" t="inlineStr">
        <is>
          <t>П'ятий платіж</t>
        </is>
      </c>
      <c r="F85" s="10" t="n">
        <v>1263447.42</v>
      </c>
      <c r="G85" s="10" t="n">
        <v>0</v>
      </c>
      <c r="H85" s="11">
        <f>F85-G85</f>
        <v/>
      </c>
      <c r="I85" s="9" t="inlineStr">
        <is>
          <t>очікується</t>
        </is>
      </c>
      <c r="J85" t="inlineStr">
        <is>
          <t>2026-09</t>
        </is>
      </c>
      <c r="K85" s="12" t="inlineStr"/>
    </row>
    <row r="86">
      <c r="A86" s="8" t="n">
        <v>46283</v>
      </c>
      <c r="B86" s="9" t="n">
        <v>7508</v>
      </c>
      <c r="C86" s="9" t="inlineStr">
        <is>
          <t>8602 Євген Весільна тераса Подорожнє</t>
        </is>
      </c>
      <c r="D86" s="9" t="inlineStr">
        <is>
          <t>Заянчковський</t>
        </is>
      </c>
      <c r="E86" s="9" t="inlineStr">
        <is>
          <t>Третій платіж</t>
        </is>
      </c>
      <c r="F86" s="10" t="n">
        <v>750999.9399999999</v>
      </c>
      <c r="G86" s="10" t="n">
        <v>0</v>
      </c>
      <c r="H86" s="11">
        <f>F86-G86</f>
        <v/>
      </c>
      <c r="I86" s="9" t="inlineStr">
        <is>
          <t>очікується</t>
        </is>
      </c>
      <c r="J86" t="inlineStr">
        <is>
          <t>2026-09</t>
        </is>
      </c>
      <c r="K86" s="12" t="inlineStr"/>
    </row>
    <row r="87">
      <c r="A87" s="8" t="n">
        <v>46286</v>
      </c>
      <c r="B87" s="9" t="n">
        <v>5910</v>
      </c>
      <c r="C87" s="9" t="inlineStr">
        <is>
          <t>SGM Brdovec, Хорватия</t>
        </is>
      </c>
      <c r="D87" s="9" t="inlineStr">
        <is>
          <t>Донська</t>
        </is>
      </c>
      <c r="E87" s="9" t="inlineStr">
        <is>
          <t>Другий платіж 60%</t>
        </is>
      </c>
      <c r="F87" s="10" t="n">
        <v>17374070.19</v>
      </c>
      <c r="G87" s="10" t="n">
        <v>7246418.19</v>
      </c>
      <c r="H87" s="11">
        <f>F87-G87</f>
        <v/>
      </c>
      <c r="I87" s="9" t="inlineStr">
        <is>
          <t>очікується</t>
        </is>
      </c>
      <c r="J87" t="inlineStr">
        <is>
          <t>2026-09</t>
        </is>
      </c>
      <c r="K87" s="12" t="inlineStr">
        <is>
          <t>€334 181</t>
        </is>
      </c>
    </row>
    <row r="88">
      <c r="A88" s="8" t="n">
        <v>46286</v>
      </c>
      <c r="B88" s="9" t="n">
        <v>5910</v>
      </c>
      <c r="C88" s="9" t="inlineStr">
        <is>
          <t>SGM Brdovec, Хорватия</t>
        </is>
      </c>
      <c r="D88" s="9" t="inlineStr">
        <is>
          <t>Донська</t>
        </is>
      </c>
      <c r="E88" s="9" t="inlineStr">
        <is>
          <t>Третій платіж</t>
        </is>
      </c>
      <c r="F88" s="10" t="n">
        <v>2895531.06</v>
      </c>
      <c r="G88" s="10" t="n">
        <v>459747.57</v>
      </c>
      <c r="H88" s="11">
        <f>F88-G88</f>
        <v/>
      </c>
      <c r="I88" s="9" t="inlineStr">
        <is>
          <t>очікується</t>
        </is>
      </c>
      <c r="J88" t="inlineStr">
        <is>
          <t>2026-09</t>
        </is>
      </c>
      <c r="K88" s="12" t="inlineStr">
        <is>
          <t>€55 694</t>
        </is>
      </c>
    </row>
    <row r="89">
      <c r="A89" s="8" t="n">
        <v>46286</v>
      </c>
      <c r="B89" s="9" t="n">
        <v>7414</v>
      </c>
      <c r="C89" s="9" t="inlineStr">
        <is>
          <t>-26 ГШ Фундамент домобудування Володимир</t>
        </is>
      </c>
      <c r="D89" s="9" t="inlineStr">
        <is>
          <t>Заянчковський</t>
        </is>
      </c>
      <c r="E89" s="9" t="inlineStr">
        <is>
          <t>Третій платіж</t>
        </is>
      </c>
      <c r="F89" s="10" t="n">
        <v>44148.4</v>
      </c>
      <c r="G89" s="10" t="n">
        <v>0</v>
      </c>
      <c r="H89" s="11">
        <f>F89-G89</f>
        <v/>
      </c>
      <c r="I89" s="9" t="inlineStr">
        <is>
          <t>очікується</t>
        </is>
      </c>
      <c r="J89" t="inlineStr">
        <is>
          <t>2026-09</t>
        </is>
      </c>
      <c r="K89" s="12" t="inlineStr"/>
    </row>
    <row r="90">
      <c r="A90" s="8" t="n">
        <v>46293</v>
      </c>
      <c r="B90" s="9" t="n">
        <v>6352</v>
      </c>
      <c r="C90" s="9" t="inlineStr">
        <is>
          <t>АБМК SCP Blade 8PS</t>
        </is>
      </c>
      <c r="D90" s="9" t="inlineStr">
        <is>
          <t>Донська</t>
        </is>
      </c>
      <c r="E90" s="9" t="inlineStr">
        <is>
          <t>Третій платіж</t>
        </is>
      </c>
      <c r="F90" s="10" t="n">
        <v>1119237.26</v>
      </c>
      <c r="G90" s="10" t="n">
        <v>0</v>
      </c>
      <c r="H90" s="11">
        <f>F90-G90</f>
        <v/>
      </c>
      <c r="I90" s="9" t="inlineStr">
        <is>
          <t>очікується</t>
        </is>
      </c>
      <c r="J90" t="inlineStr">
        <is>
          <t>2026-09</t>
        </is>
      </c>
      <c r="K90" s="12" t="inlineStr"/>
    </row>
    <row r="91">
      <c r="A91" s="8" t="n">
        <v>46293</v>
      </c>
      <c r="B91" s="9" t="n">
        <v>6352</v>
      </c>
      <c r="C91" s="9" t="inlineStr">
        <is>
          <t>АБМК SCP Blade 8PS</t>
        </is>
      </c>
      <c r="D91" s="9" t="inlineStr">
        <is>
          <t>Донська</t>
        </is>
      </c>
      <c r="E91" s="9" t="inlineStr">
        <is>
          <t>Четвертий платіж</t>
        </is>
      </c>
      <c r="F91" s="10" t="n">
        <v>371982.96</v>
      </c>
      <c r="G91" s="10" t="n">
        <v>0</v>
      </c>
      <c r="H91" s="11">
        <f>F91-G91</f>
        <v/>
      </c>
      <c r="I91" s="9" t="inlineStr">
        <is>
          <t>очікується</t>
        </is>
      </c>
      <c r="J91" t="inlineStr">
        <is>
          <t>2026-09</t>
        </is>
      </c>
      <c r="K91" s="12" t="inlineStr"/>
    </row>
    <row r="92">
      <c r="A92" s="8" t="n">
        <v>46295</v>
      </c>
      <c r="B92" s="9" t="n">
        <v>7244</v>
      </c>
      <c r="C92" s="9" t="inlineStr">
        <is>
          <t>В Модулекс модульна будівля Чернігів</t>
        </is>
      </c>
      <c r="D92" s="9" t="inlineStr">
        <is>
          <t>Заянчковський</t>
        </is>
      </c>
      <c r="E92" s="9" t="inlineStr">
        <is>
          <t>П'ятий платіж</t>
        </is>
      </c>
      <c r="F92" s="10" t="n">
        <v>132708.6</v>
      </c>
      <c r="G92" s="10" t="n">
        <v>0</v>
      </c>
      <c r="H92" s="11">
        <f>F92-G92</f>
        <v/>
      </c>
      <c r="I92" s="9" t="inlineStr">
        <is>
          <t>очікується</t>
        </is>
      </c>
      <c r="J92" t="inlineStr">
        <is>
          <t>2026-09</t>
        </is>
      </c>
      <c r="K92" s="12" t="inlineStr"/>
    </row>
    <row r="93">
      <c r="A93" s="8" t="n">
        <v>46295</v>
      </c>
      <c r="B93" s="9" t="n">
        <v>7414</v>
      </c>
      <c r="C93" s="9" t="inlineStr">
        <is>
          <t>-26 ГШ Фундамент домобудування Володимир</t>
        </is>
      </c>
      <c r="D93" s="9" t="inlineStr">
        <is>
          <t>Заянчковський</t>
        </is>
      </c>
      <c r="E93" s="9" t="inlineStr">
        <is>
          <t>Четвертий платіж</t>
        </is>
      </c>
      <c r="F93" s="10" t="n">
        <v>57497.5</v>
      </c>
      <c r="G93" s="10" t="n">
        <v>0</v>
      </c>
      <c r="H93" s="11">
        <f>F93-G93</f>
        <v/>
      </c>
      <c r="I93" s="9" t="inlineStr">
        <is>
          <t>очікується</t>
        </is>
      </c>
      <c r="J93" t="inlineStr">
        <is>
          <t>2026-09</t>
        </is>
      </c>
      <c r="K93" s="12" t="inlineStr"/>
    </row>
    <row r="94">
      <c r="A94" s="8" t="n">
        <v>46300</v>
      </c>
      <c r="B94" s="9" t="n">
        <v>6024</v>
      </c>
      <c r="C94" s="9" t="inlineStr">
        <is>
          <t>-26 ГШ с. Липовиця Черніг. обл. Модулекс</t>
        </is>
      </c>
      <c r="D94" s="9" t="inlineStr">
        <is>
          <t>Заянчковський</t>
        </is>
      </c>
      <c r="E94" s="9" t="inlineStr">
        <is>
          <t>Другий платіж</t>
        </is>
      </c>
      <c r="F94" s="10" t="n">
        <v>246402</v>
      </c>
      <c r="G94" s="10" t="n">
        <v>0</v>
      </c>
      <c r="H94" s="11">
        <f>F94-G94</f>
        <v/>
      </c>
      <c r="I94" s="9" t="inlineStr">
        <is>
          <t>очікується</t>
        </is>
      </c>
      <c r="J94" t="inlineStr">
        <is>
          <t>2026-10</t>
        </is>
      </c>
      <c r="K94" s="12" t="inlineStr"/>
    </row>
    <row r="95">
      <c r="A95" s="8" t="n">
        <v>46300</v>
      </c>
      <c r="B95" s="9" t="n">
        <v>6024</v>
      </c>
      <c r="C95" s="9" t="inlineStr">
        <is>
          <t>-26 ГШ с. Липовиця Черніг. обл. Модулекс</t>
        </is>
      </c>
      <c r="D95" s="9" t="inlineStr">
        <is>
          <t>Заянчковський</t>
        </is>
      </c>
      <c r="E95" s="9" t="inlineStr">
        <is>
          <t>Третій платіж</t>
        </is>
      </c>
      <c r="F95" s="10" t="n">
        <v>3999</v>
      </c>
      <c r="G95" s="10" t="n">
        <v>0</v>
      </c>
      <c r="H95" s="11">
        <f>F95-G95</f>
        <v/>
      </c>
      <c r="I95" s="9" t="inlineStr">
        <is>
          <t>очікується</t>
        </is>
      </c>
      <c r="J95" t="inlineStr">
        <is>
          <t>2026-10</t>
        </is>
      </c>
      <c r="K95" s="12" t="inlineStr"/>
    </row>
    <row r="96">
      <c r="A96" s="8" t="n">
        <v>46311</v>
      </c>
      <c r="B96" s="9" t="n">
        <v>7894</v>
      </c>
      <c r="C96" s="9" t="inlineStr">
        <is>
          <t>SCP Фора  Хотів</t>
        </is>
      </c>
      <c r="D96" s="9" t="inlineStr">
        <is>
          <t>Донська</t>
        </is>
      </c>
      <c r="E96" s="9" t="inlineStr">
        <is>
          <t>П'ятий платіж</t>
        </is>
      </c>
      <c r="F96" s="10" t="n">
        <v>737597.4</v>
      </c>
      <c r="G96" s="10" t="n">
        <v>0</v>
      </c>
      <c r="H96" s="11">
        <f>F96-G96</f>
        <v/>
      </c>
      <c r="I96" s="9" t="inlineStr">
        <is>
          <t>очікується</t>
        </is>
      </c>
      <c r="J96" t="inlineStr">
        <is>
          <t>2026-10</t>
        </is>
      </c>
      <c r="K96" s="12" t="inlineStr"/>
    </row>
    <row r="97">
      <c r="A97" s="8" t="n">
        <v>46311</v>
      </c>
      <c r="B97" s="9" t="n">
        <v>8497</v>
      </c>
      <c r="C97" s="9" t="inlineStr">
        <is>
          <t>LSG 110MWt   50 points</t>
        </is>
      </c>
      <c r="D97" s="9" t="inlineStr">
        <is>
          <t>Іщук</t>
        </is>
      </c>
      <c r="E97" s="9" t="inlineStr">
        <is>
          <t>Другий платіж</t>
        </is>
      </c>
      <c r="F97" s="10" t="n">
        <v>523799.25</v>
      </c>
      <c r="G97" s="10" t="n">
        <v>0</v>
      </c>
      <c r="H97" s="11">
        <f>F97-G97</f>
        <v/>
      </c>
      <c r="I97" s="9" t="inlineStr">
        <is>
          <t>очікується</t>
        </is>
      </c>
      <c r="J97" t="inlineStr">
        <is>
          <t>2026-10</t>
        </is>
      </c>
      <c r="K97" s="12" t="inlineStr">
        <is>
          <t>€10 075</t>
        </is>
      </c>
    </row>
    <row r="98">
      <c r="A98" s="8" t="n">
        <v>46316</v>
      </c>
      <c r="B98" s="9" t="n">
        <v>6356</v>
      </c>
      <c r="C98" s="9" t="inlineStr">
        <is>
          <t>-26 SOLAR Наземні СЕС 3 Kirill Trokhin</t>
        </is>
      </c>
      <c r="D98" s="9" t="inlineStr">
        <is>
          <t>Хома</t>
        </is>
      </c>
      <c r="E98" s="9" t="inlineStr">
        <is>
          <t>Другий платіж</t>
        </is>
      </c>
      <c r="F98" s="10" t="n">
        <v>3339837.6</v>
      </c>
      <c r="G98" s="10" t="n">
        <v>0</v>
      </c>
      <c r="H98" s="11">
        <f>F98-G98</f>
        <v/>
      </c>
      <c r="I98" s="9" t="inlineStr">
        <is>
          <t>очікується</t>
        </is>
      </c>
      <c r="J98" t="inlineStr">
        <is>
          <t>2026-10</t>
        </is>
      </c>
      <c r="K98" s="12" t="inlineStr">
        <is>
          <t>€64 240</t>
        </is>
      </c>
    </row>
    <row r="99">
      <c r="A99" s="8" t="n">
        <v>46321</v>
      </c>
      <c r="B99" s="9" t="n">
        <v>6352</v>
      </c>
      <c r="C99" s="9" t="inlineStr">
        <is>
          <t>АБМК SCP Blade 8PS</t>
        </is>
      </c>
      <c r="D99" s="9" t="inlineStr">
        <is>
          <t>Донська</t>
        </is>
      </c>
      <c r="E99" s="9" t="inlineStr">
        <is>
          <t>П'ятий платіж</t>
        </is>
      </c>
      <c r="F99" s="10" t="n">
        <v>651792.28</v>
      </c>
      <c r="G99" s="10" t="n">
        <v>0</v>
      </c>
      <c r="H99" s="11">
        <f>F99-G99</f>
        <v/>
      </c>
      <c r="I99" s="9" t="inlineStr">
        <is>
          <t>очікується</t>
        </is>
      </c>
      <c r="J99" t="inlineStr">
        <is>
          <t>2026-10</t>
        </is>
      </c>
      <c r="K99" s="12" t="inlineStr"/>
    </row>
    <row r="100">
      <c r="A100" s="8" t="n">
        <v>46322</v>
      </c>
      <c r="B100" s="9" t="n">
        <v>6356</v>
      </c>
      <c r="C100" s="9" t="inlineStr">
        <is>
          <t>-26 SOLAR Наземні СЕС 3 Kirill Trokhin</t>
        </is>
      </c>
      <c r="D100" s="9" t="inlineStr">
        <is>
          <t>Хома</t>
        </is>
      </c>
      <c r="E100" s="9" t="inlineStr">
        <is>
          <t>Третій платіж</t>
        </is>
      </c>
      <c r="F100" s="10" t="n">
        <v>667967.52</v>
      </c>
      <c r="G100" s="10" t="n">
        <v>0</v>
      </c>
      <c r="H100" s="11">
        <f>F100-G100</f>
        <v/>
      </c>
      <c r="I100" s="9" t="inlineStr">
        <is>
          <t>очікується</t>
        </is>
      </c>
      <c r="J100" t="inlineStr">
        <is>
          <t>2026-10</t>
        </is>
      </c>
      <c r="K100" s="12" t="inlineStr">
        <is>
          <t>€12 848</t>
        </is>
      </c>
    </row>
    <row r="101">
      <c r="E101" s="3" t="inlineStr">
        <is>
          <t>Разом</t>
        </is>
      </c>
      <c r="F101" s="13">
        <f>SUM(F2:F100)</f>
        <v/>
      </c>
      <c r="G101" s="13">
        <f>SUM(G2:G100)</f>
        <v/>
      </c>
      <c r="H101" s="13">
        <f>SUM(H2:H100)</f>
        <v/>
      </c>
    </row>
  </sheetData>
  <autoFilter ref="A1:I10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3" t="inlineStr">
        <is>
          <t>Разом</t>
        </is>
      </c>
      <c r="B9" s="13">
        <f>SUM(B2:B8)</f>
        <v/>
      </c>
      <c r="C9" s="13">
        <f>SUM(C2:C8)</f>
        <v/>
      </c>
      <c r="D9" s="13">
        <f>SUM(D2:D8)</f>
        <v/>
      </c>
      <c r="E9" s="15">
        <f>IF(B9=0,0,C9/B9)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46274</v>
      </c>
      <c r="B2" s="9" t="n">
        <v>5870</v>
      </c>
      <c r="C2" s="9" t="inlineStr">
        <is>
          <t>Carport Airport Munich</t>
        </is>
      </c>
      <c r="D2" s="9" t="inlineStr">
        <is>
          <t>Четвертий платіж</t>
        </is>
      </c>
      <c r="E2" s="11" t="n">
        <v>909825</v>
      </c>
      <c r="F2" s="11" t="n">
        <v>0</v>
      </c>
      <c r="G2" s="11">
        <f>E2-F2</f>
        <v/>
      </c>
    </row>
    <row r="3">
      <c r="A3" s="8" t="n">
        <v>46275</v>
      </c>
      <c r="B3" s="9" t="n">
        <v>7002</v>
      </c>
      <c r="C3" s="9" t="inlineStr">
        <is>
          <t>Фора SCP Млиново</t>
        </is>
      </c>
      <c r="D3" s="9" t="inlineStr">
        <is>
          <t>П'ятий платіж</t>
        </is>
      </c>
      <c r="E3" s="11" t="n">
        <v>573945</v>
      </c>
      <c r="F3" s="11" t="n">
        <v>0</v>
      </c>
      <c r="G3" s="11">
        <f>E3-F3</f>
        <v/>
      </c>
    </row>
    <row r="4">
      <c r="A4" s="8" t="n">
        <v>46274</v>
      </c>
      <c r="B4" s="9" t="n">
        <v>3456</v>
      </c>
      <c r="C4" s="9" t="inlineStr">
        <is>
          <t>А Підселання фундаменту</t>
        </is>
      </c>
      <c r="D4" s="9" t="inlineStr">
        <is>
          <t>Третій платіж</t>
        </is>
      </c>
      <c r="E4" s="11" t="n">
        <v>335974.68</v>
      </c>
      <c r="F4" s="11" t="n">
        <v>0</v>
      </c>
      <c r="G4" s="11">
        <f>E4-F4</f>
        <v/>
      </c>
    </row>
    <row r="5">
      <c r="A5" s="8" t="n">
        <v>46275</v>
      </c>
      <c r="B5" s="9" t="n">
        <v>7002</v>
      </c>
      <c r="C5" s="9" t="inlineStr">
        <is>
          <t>Фора SCP Млиново</t>
        </is>
      </c>
      <c r="D5" s="9" t="inlineStr">
        <is>
          <t>Шостий платіж (Допка)</t>
        </is>
      </c>
      <c r="E5" s="11" t="n">
        <v>257000</v>
      </c>
      <c r="F5" s="11" t="n">
        <v>0</v>
      </c>
      <c r="G5" s="11">
        <f>E5-F5</f>
        <v/>
      </c>
    </row>
    <row r="6">
      <c r="A6" s="8" t="n">
        <v>46260</v>
      </c>
      <c r="B6" s="9" t="n">
        <v>6406</v>
      </c>
      <c r="C6" s="9" t="inlineStr">
        <is>
          <t>Максим Яловий Чинадієво</t>
        </is>
      </c>
      <c r="D6" s="9" t="inlineStr">
        <is>
          <t>Другий платіж</t>
        </is>
      </c>
      <c r="E6" s="11" t="n">
        <v>218602</v>
      </c>
      <c r="F6" s="11" t="n">
        <v>170788</v>
      </c>
      <c r="G6" s="11">
        <f>E6-F6</f>
        <v/>
      </c>
    </row>
    <row r="7">
      <c r="D7" s="3" t="inlineStr">
        <is>
          <t>Разом</t>
        </is>
      </c>
      <c r="E7" s="13">
        <f>SUM(E2:E6)</f>
        <v/>
      </c>
      <c r="F7" s="13">
        <f>SUM(F2:F6)</f>
        <v/>
      </c>
      <c r="G7" s="13">
        <f>SUM(G2:G6)</f>
        <v/>
      </c>
    </row>
  </sheetData>
  <autoFilter ref="A1:G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2026-09-10T04:43:39Z</dcterms:created>
  <dcterms:modified xmlns:dcterms="http://purl.org/dc/terms/" xmlns:xsi="http://www.w3.org/2001/XMLSchema-instance" xsi:type="dcterms:W3CDTF">2026-09-10T04:43:39Z</dcterms:modified>
</cp:coreProperties>
</file>