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надходжень'!$A$1:$I$83</definedName>
    <definedName name="_xlnm._FilterDatabase" localSheetId="3" hidden="1">'Прострочені'!$A$1:$G$5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31.07.2026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2592928.98</v>
      </c>
      <c r="G12" s="10" t="n">
        <v>2592928.98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€50 574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5270556</v>
      </c>
      <c r="G13" s="10" t="n">
        <v>5270556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>
        <is>
          <t>€102 800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4585332.45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>
        <is>
          <t>€89 435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1897143.81</v>
      </c>
      <c r="G42" s="10" t="n">
        <v>1897143.81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>
        <is>
          <t>€37 003</t>
        </is>
      </c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7778735.670000001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>
        <is>
          <t>€151 721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46213</v>
      </c>
      <c r="B47" s="9" t="n">
        <v>8188</v>
      </c>
      <c r="C47" s="9" t="inlineStr">
        <is>
          <t>Фундамент Ужгород Стефанія</t>
        </is>
      </c>
      <c r="D47" s="9" t="inlineStr">
        <is>
          <t>Іщук</t>
        </is>
      </c>
      <c r="E47" s="9" t="inlineStr">
        <is>
          <t>Другий платіж</t>
        </is>
      </c>
      <c r="F47" s="10" t="n">
        <v>73926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  <c r="K47" s="12" t="inlineStr"/>
    </row>
    <row r="48">
      <c r="A48" s="8" t="n">
        <v>46213</v>
      </c>
      <c r="B48" s="9" t="n">
        <v>8454</v>
      </c>
      <c r="C48" s="9" t="inlineStr">
        <is>
          <t>Олександр каркасний Верховина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69666</v>
      </c>
      <c r="G48" s="10" t="n">
        <v>69666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46216</v>
      </c>
      <c r="B49" s="9" t="n">
        <v>8496</v>
      </c>
      <c r="C49" s="9" t="inlineStr">
        <is>
          <t>А Greensource  SGM  110MWp</t>
        </is>
      </c>
      <c r="D49" s="9" t="inlineStr">
        <is>
          <t>Іщук</t>
        </is>
      </c>
      <c r="E49" s="9" t="inlineStr">
        <is>
          <t>Авансовий платіж</t>
        </is>
      </c>
      <c r="F49" s="10" t="n">
        <v>451176</v>
      </c>
      <c r="G49" s="10" t="n">
        <v>451176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>
        <is>
          <t>€8 800</t>
        </is>
      </c>
    </row>
    <row r="50">
      <c r="A50" s="8" t="n">
        <v>46216</v>
      </c>
      <c r="B50" s="9" t="n">
        <v>8898</v>
      </c>
      <c r="C50" s="9" t="inlineStr">
        <is>
          <t>6022-26 - ГШ Фундамент домобудування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259395.65</v>
      </c>
      <c r="G50" s="10" t="n">
        <v>259395.65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46217</v>
      </c>
      <c r="B51" s="9" t="n">
        <v>4766</v>
      </c>
      <c r="C51" s="9" t="inlineStr">
        <is>
          <t>ALTECO Carport Model Taurus 280кВт</t>
        </is>
      </c>
      <c r="D51" s="9" t="inlineStr">
        <is>
          <t>Заянчковський</t>
        </is>
      </c>
      <c r="E51" s="9" t="inlineStr">
        <is>
          <t>Другий платіж</t>
        </is>
      </c>
      <c r="F51" s="10" t="n">
        <v>100000</v>
      </c>
      <c r="G51" s="10" t="n">
        <v>100000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46217</v>
      </c>
      <c r="B53" s="9" t="n">
        <v>8185</v>
      </c>
      <c r="C53" s="9" t="inlineStr">
        <is>
          <t>Фундамент Hytte House Development Славське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63313.4</v>
      </c>
      <c r="G53" s="10" t="n">
        <v>63313.4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6352</v>
      </c>
      <c r="C54" s="9" t="inlineStr">
        <is>
          <t>А АБМК ТОВ  SCP Blade 8PS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80000.03999999999</v>
      </c>
      <c r="G54" s="10" t="n">
        <v>80000.03999999999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6352</v>
      </c>
      <c r="C55" s="9" t="inlineStr">
        <is>
          <t>А АБМК ТОВ  SCP Blade 8PS</t>
        </is>
      </c>
      <c r="D55" s="9" t="inlineStr">
        <is>
          <t>Донська</t>
        </is>
      </c>
      <c r="E55" s="9" t="inlineStr">
        <is>
          <t>Авансовий платіж</t>
        </is>
      </c>
      <c r="F55" s="10" t="n">
        <v>80000.03999999999</v>
      </c>
      <c r="G55" s="10" t="n">
        <v>80000.03999999999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46219</v>
      </c>
      <c r="B56" s="9" t="n">
        <v>7002</v>
      </c>
      <c r="C56" s="9" t="inlineStr">
        <is>
          <t>А Фора  SCP W 24PS V1</t>
        </is>
      </c>
      <c r="D56" s="9" t="inlineStr">
        <is>
          <t>Донська</t>
        </is>
      </c>
      <c r="E56" s="9" t="inlineStr">
        <is>
          <t>Другий платіж</t>
        </is>
      </c>
      <c r="F56" s="10" t="n">
        <v>126896.64</v>
      </c>
      <c r="G56" s="10" t="n">
        <v>126896.64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46219</v>
      </c>
      <c r="B57" s="9" t="n">
        <v>7002</v>
      </c>
      <c r="C57" s="9" t="inlineStr">
        <is>
          <t>А Фора  SCP W 24PS V1</t>
        </is>
      </c>
      <c r="D57" s="9" t="inlineStr">
        <is>
          <t>Донська</t>
        </is>
      </c>
      <c r="E57" s="9" t="inlineStr">
        <is>
          <t>Третій платіж</t>
        </is>
      </c>
      <c r="F57" s="10" t="n">
        <v>126896.64</v>
      </c>
      <c r="G57" s="10" t="n">
        <v>126896.64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/>
    </row>
    <row r="58">
      <c r="A58" s="8" t="n">
        <v>46219</v>
      </c>
      <c r="B58" s="9" t="n">
        <v>7002</v>
      </c>
      <c r="C58" s="9" t="inlineStr">
        <is>
          <t>А Фора  SCP W 24PS V1</t>
        </is>
      </c>
      <c r="D58" s="9" t="inlineStr">
        <is>
          <t>Донська</t>
        </is>
      </c>
      <c r="E58" s="9" t="inlineStr">
        <is>
          <t>Четвертий платіж</t>
        </is>
      </c>
      <c r="F58" s="10" t="n">
        <v>573945</v>
      </c>
      <c r="G58" s="10" t="n">
        <v>573945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46224</v>
      </c>
      <c r="B59" s="9" t="n">
        <v>4766</v>
      </c>
      <c r="C59" s="9" t="inlineStr">
        <is>
          <t>ALTECO Carport Model Taurus 280кВт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4368478.98</v>
      </c>
      <c r="G59" s="10" t="n">
        <v>4368478.98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46225</v>
      </c>
      <c r="B60" s="9" t="n">
        <v>5910</v>
      </c>
      <c r="C60" s="9" t="inlineStr">
        <is>
          <t>А   AGM 2V</t>
        </is>
      </c>
      <c r="D60" s="9" t="inlineStr">
        <is>
          <t>Донська</t>
        </is>
      </c>
      <c r="E60" s="9" t="inlineStr">
        <is>
          <t>Авансовий платіж</t>
        </is>
      </c>
      <c r="F60" s="10" t="n">
        <v>8566740.189000001</v>
      </c>
      <c r="G60" s="10" t="n">
        <v>8566740.189000001</v>
      </c>
      <c r="H60" s="11">
        <f>F60-G60</f>
        <v/>
      </c>
      <c r="I60" s="9" t="inlineStr">
        <is>
          <t>отримано</t>
        </is>
      </c>
      <c r="J60" t="inlineStr">
        <is>
          <t>2026-07</t>
        </is>
      </c>
      <c r="K60" s="12" t="inlineStr">
        <is>
          <t>€167 091</t>
        </is>
      </c>
    </row>
    <row r="61">
      <c r="A61" s="8" t="n">
        <v>46234</v>
      </c>
      <c r="B61" s="9" t="n">
        <v>7068</v>
      </c>
      <c r="C61" s="9" t="inlineStr">
        <is>
          <t>А Remtec energy  AGM  160 TP</t>
        </is>
      </c>
      <c r="D61" s="9" t="inlineStr">
        <is>
          <t>Александров</t>
        </is>
      </c>
      <c r="E61" s="9" t="inlineStr">
        <is>
          <t>Третій платіж</t>
        </is>
      </c>
      <c r="F61" s="10" t="n">
        <v>0</v>
      </c>
      <c r="G61" s="10" t="n">
        <v>2794670</v>
      </c>
      <c r="H61" s="11">
        <f>F61-G61</f>
        <v/>
      </c>
      <c r="I61" s="9" t="inlineStr">
        <is>
          <t>очікується</t>
        </is>
      </c>
      <c r="J61" t="inlineStr">
        <is>
          <t>2026-07</t>
        </is>
      </c>
      <c r="K61" s="12" t="inlineStr"/>
    </row>
    <row r="62">
      <c r="A62" s="8" t="n">
        <v>46235</v>
      </c>
      <c r="B62" s="9" t="n">
        <v>7244</v>
      </c>
      <c r="C62" s="9" t="inlineStr">
        <is>
          <t>В Модулекс модульна будівля Чернігів</t>
        </is>
      </c>
      <c r="D62" s="9" t="inlineStr">
        <is>
          <t>Заянчковський</t>
        </is>
      </c>
      <c r="E62" s="9" t="inlineStr">
        <is>
          <t>П'ятий платіж</t>
        </is>
      </c>
      <c r="F62" s="10" t="n">
        <v>132708.6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2026-08</t>
        </is>
      </c>
      <c r="K62" s="12" t="inlineStr"/>
    </row>
    <row r="63">
      <c r="A63" s="8" t="n">
        <v>46237</v>
      </c>
      <c r="B63" s="9" t="n">
        <v>5910</v>
      </c>
      <c r="C63" s="9" t="inlineStr">
        <is>
          <t>А   AGM 2V</t>
        </is>
      </c>
      <c r="D63" s="9" t="inlineStr">
        <is>
          <t>Донська</t>
        </is>
      </c>
      <c r="E63" s="9" t="inlineStr">
        <is>
          <t>Другий платіж</t>
        </is>
      </c>
      <c r="F63" s="10" t="n">
        <v>17133480.378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2026-08</t>
        </is>
      </c>
      <c r="K63" s="12" t="inlineStr">
        <is>
          <t>€334 181</t>
        </is>
      </c>
    </row>
    <row r="64">
      <c r="A64" s="8" t="n">
        <v>46237</v>
      </c>
      <c r="B64" s="9" t="n">
        <v>6352</v>
      </c>
      <c r="C64" s="9" t="inlineStr">
        <is>
          <t>А АБМК ТОВ  SCP Blade 8PS</t>
        </is>
      </c>
      <c r="D64" s="9" t="inlineStr">
        <is>
          <t>Донська</t>
        </is>
      </c>
      <c r="E64" s="9" t="inlineStr">
        <is>
          <t>Другий платіж</t>
        </is>
      </c>
      <c r="F64" s="10" t="n">
        <v>1399046.58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2026-08</t>
        </is>
      </c>
      <c r="K64" s="12" t="inlineStr"/>
    </row>
    <row r="65">
      <c r="A65" s="8" t="n">
        <v>46237</v>
      </c>
      <c r="B65" s="9" t="n">
        <v>6406</v>
      </c>
      <c r="C65" s="9" t="inlineStr">
        <is>
          <t>Максим Яловий Чинадієво</t>
        </is>
      </c>
      <c r="D65" s="9" t="inlineStr">
        <is>
          <t>Іщук</t>
        </is>
      </c>
      <c r="E65" s="9" t="inlineStr">
        <is>
          <t>Другий платіж</t>
        </is>
      </c>
      <c r="F65" s="10" t="n">
        <v>218602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/>
    </row>
    <row r="66">
      <c r="A66" s="8" t="n">
        <v>46237</v>
      </c>
      <c r="B66" s="9" t="n">
        <v>7894</v>
      </c>
      <c r="C66" s="9" t="inlineStr">
        <is>
          <t>А Фора  SCP  32PS</t>
        </is>
      </c>
      <c r="D66" s="9" t="inlineStr">
        <is>
          <t>Донська</t>
        </is>
      </c>
      <c r="E66" s="9" t="inlineStr">
        <is>
          <t>Другий платіж</t>
        </is>
      </c>
      <c r="F66" s="10" t="n">
        <v>185968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46237</v>
      </c>
      <c r="B67" s="9" t="n">
        <v>8878</v>
      </c>
      <c r="C67" s="9" t="inlineStr">
        <is>
          <t>А ТОВ КОМПАНІЯ ВОЛЬТ СЕРВІС ГРУП</t>
        </is>
      </c>
      <c r="D67" s="9" t="inlineStr">
        <is>
          <t>Заянчковський</t>
        </is>
      </c>
      <c r="E67" s="9" t="inlineStr">
        <is>
          <t>П'ятий платіж</t>
        </is>
      </c>
      <c r="F67" s="10" t="n">
        <v>12823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46241</v>
      </c>
      <c r="B68" s="9" t="n">
        <v>6352</v>
      </c>
      <c r="C68" s="9" t="inlineStr">
        <is>
          <t>А АБМК ТОВ  SCP Blade 8PS</t>
        </is>
      </c>
      <c r="D68" s="9" t="inlineStr">
        <is>
          <t>Донська</t>
        </is>
      </c>
      <c r="E68" s="9" t="inlineStr">
        <is>
          <t>Другий платіж</t>
        </is>
      </c>
      <c r="F68" s="10" t="n">
        <v>1399046.58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46245</v>
      </c>
      <c r="B69" s="9" t="n">
        <v>7894</v>
      </c>
      <c r="C69" s="9" t="inlineStr">
        <is>
          <t>А Фора  SCP  32PS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185967.99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46248</v>
      </c>
      <c r="B70" s="9" t="n">
        <v>8898</v>
      </c>
      <c r="C70" s="9" t="inlineStr">
        <is>
          <t>6022-26 - ГШ Фундамент домобудування</t>
        </is>
      </c>
      <c r="D70" s="9" t="inlineStr">
        <is>
          <t>Донська</t>
        </is>
      </c>
      <c r="E70" s="9" t="inlineStr">
        <is>
          <t>Другий платіж</t>
        </is>
      </c>
      <c r="F70" s="10" t="n">
        <v>27768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/>
    </row>
    <row r="71">
      <c r="A71" s="8" t="n">
        <v>46258</v>
      </c>
      <c r="B71" s="9" t="n">
        <v>3456</v>
      </c>
      <c r="C71" s="9" t="inlineStr">
        <is>
          <t>А Підселання фундаменту</t>
        </is>
      </c>
      <c r="D71" s="9" t="inlineStr">
        <is>
          <t>Донська</t>
        </is>
      </c>
      <c r="E71" s="9" t="inlineStr">
        <is>
          <t>Третій платіж</t>
        </is>
      </c>
      <c r="F71" s="10" t="n">
        <v>335974.68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/>
    </row>
    <row r="72">
      <c r="A72" s="8" t="n">
        <v>46258</v>
      </c>
      <c r="B72" s="9" t="n">
        <v>6352</v>
      </c>
      <c r="C72" s="9" t="inlineStr">
        <is>
          <t>А АБМК ТОВ  SCP Blade 8PS</t>
        </is>
      </c>
      <c r="D72" s="9" t="inlineStr">
        <is>
          <t>Донська</t>
        </is>
      </c>
      <c r="E72" s="9" t="inlineStr">
        <is>
          <t>Третій платіж</t>
        </is>
      </c>
      <c r="F72" s="10" t="n">
        <v>1119237.26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46258</v>
      </c>
      <c r="B73" s="9" t="n">
        <v>6352</v>
      </c>
      <c r="C73" s="9" t="inlineStr">
        <is>
          <t>А АБМК ТОВ  SCP Blade 8PS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1119237.26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/>
    </row>
    <row r="74">
      <c r="A74" s="8" t="n">
        <v>46260</v>
      </c>
      <c r="B74" s="9" t="n">
        <v>7002</v>
      </c>
      <c r="C74" s="9" t="inlineStr">
        <is>
          <t>А Фора  SCP W 24PS V1</t>
        </is>
      </c>
      <c r="D74" s="9" t="inlineStr">
        <is>
          <t>Донська</t>
        </is>
      </c>
      <c r="E74" s="9" t="inlineStr">
        <is>
          <t>П'ятий платіж</t>
        </is>
      </c>
      <c r="F74" s="10" t="n">
        <v>573945</v>
      </c>
      <c r="G74" s="10" t="n">
        <v>0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/>
    </row>
    <row r="75">
      <c r="A75" s="8" t="n">
        <v>46266</v>
      </c>
      <c r="B75" s="9" t="n">
        <v>4766</v>
      </c>
      <c r="C75" s="9" t="inlineStr">
        <is>
          <t>ALTECO Carport Model Taurus 280кВт</t>
        </is>
      </c>
      <c r="D75" s="9" t="inlineStr">
        <is>
          <t>Заянчковський</t>
        </is>
      </c>
      <c r="E75" s="9" t="inlineStr">
        <is>
          <t>Четвертий платіж</t>
        </is>
      </c>
      <c r="F75" s="10" t="n">
        <v>128100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2026-09</t>
        </is>
      </c>
      <c r="K75" s="12" t="inlineStr"/>
    </row>
    <row r="76">
      <c r="A76" s="8" t="n">
        <v>46267</v>
      </c>
      <c r="B76" s="9" t="n">
        <v>4766</v>
      </c>
      <c r="C76" s="9" t="inlineStr">
        <is>
          <t>ALTECO Carport Model Taurus 280кВт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1199397.42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2026-09</t>
        </is>
      </c>
      <c r="K76" s="12" t="inlineStr"/>
    </row>
    <row r="77">
      <c r="A77" s="8" t="n">
        <v>46270</v>
      </c>
      <c r="B77" s="9" t="n">
        <v>5910</v>
      </c>
      <c r="C77" s="9" t="inlineStr">
        <is>
          <t>А   AGM 2V</t>
        </is>
      </c>
      <c r="D77" s="9" t="inlineStr">
        <is>
          <t>Донська</t>
        </is>
      </c>
      <c r="E77" s="9" t="inlineStr">
        <is>
          <t>Третій платіж</t>
        </is>
      </c>
      <c r="F77" s="10" t="n">
        <v>2855580.063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>
        <is>
          <t>€55 697</t>
        </is>
      </c>
    </row>
    <row r="78">
      <c r="A78" s="8" t="n">
        <v>46280</v>
      </c>
      <c r="B78" s="9" t="n">
        <v>8898</v>
      </c>
      <c r="C78" s="9" t="inlineStr">
        <is>
          <t>6022-26 - ГШ Фундамент домобудування</t>
        </is>
      </c>
      <c r="D78" s="9" t="inlineStr">
        <is>
          <t>Донська</t>
        </is>
      </c>
      <c r="E78" s="9" t="inlineStr">
        <is>
          <t>Третій платіж</t>
        </is>
      </c>
      <c r="F78" s="10" t="n">
        <v>189603.75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46282</v>
      </c>
      <c r="B79" s="9" t="n">
        <v>7894</v>
      </c>
      <c r="C79" s="9" t="inlineStr">
        <is>
          <t>А Фора  SCP  32PS</t>
        </is>
      </c>
      <c r="D79" s="9" t="inlineStr">
        <is>
          <t>Донська</t>
        </is>
      </c>
      <c r="E79" s="9" t="inlineStr">
        <is>
          <t>П'ятий платіж</t>
        </is>
      </c>
      <c r="F79" s="10" t="n">
        <v>737597.4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46308</v>
      </c>
      <c r="B80" s="9" t="n">
        <v>6352</v>
      </c>
      <c r="C80" s="9" t="inlineStr">
        <is>
          <t>А АБМК ТОВ  SCP Blade 8PS</t>
        </is>
      </c>
      <c r="D80" s="9" t="inlineStr">
        <is>
          <t>Донська</t>
        </is>
      </c>
      <c r="E80" s="9" t="inlineStr">
        <is>
          <t>Четвертий платіж</t>
        </is>
      </c>
      <c r="F80" s="10" t="n">
        <v>371982.96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2026-10</t>
        </is>
      </c>
      <c r="K80" s="12" t="inlineStr"/>
    </row>
    <row r="81">
      <c r="A81" s="8" t="n">
        <v>46308</v>
      </c>
      <c r="B81" s="9" t="n">
        <v>6352</v>
      </c>
      <c r="C81" s="9" t="inlineStr">
        <is>
          <t>А АБМК ТОВ  SCP Blade 8PS</t>
        </is>
      </c>
      <c r="D81" s="9" t="inlineStr">
        <is>
          <t>Донська</t>
        </is>
      </c>
      <c r="E81" s="9" t="inlineStr">
        <is>
          <t>Четвертий платіж</t>
        </is>
      </c>
      <c r="F81" s="10" t="n">
        <v>371982.96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2026-10</t>
        </is>
      </c>
      <c r="K81" s="12" t="inlineStr"/>
    </row>
    <row r="82">
      <c r="A82" s="8" t="n">
        <v>46321</v>
      </c>
      <c r="B82" s="9" t="n">
        <v>6352</v>
      </c>
      <c r="C82" s="9" t="inlineStr">
        <is>
          <t>А АБМК ТОВ  SCP Blade 8PS</t>
        </is>
      </c>
      <c r="D82" s="9" t="inlineStr">
        <is>
          <t>Донська</t>
        </is>
      </c>
      <c r="E82" s="9" t="inlineStr">
        <is>
          <t>П'ятий платіж</t>
        </is>
      </c>
      <c r="F82" s="10" t="n">
        <v>651792.28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2026-10</t>
        </is>
      </c>
      <c r="K82" s="12" t="inlineStr"/>
    </row>
    <row r="83">
      <c r="A83" s="8" t="n">
        <v>46321</v>
      </c>
      <c r="B83" s="9" t="n">
        <v>6352</v>
      </c>
      <c r="C83" s="9" t="inlineStr">
        <is>
          <t>А АБМК ТОВ  SCP Blade 8PS</t>
        </is>
      </c>
      <c r="D83" s="9" t="inlineStr">
        <is>
          <t>Донська</t>
        </is>
      </c>
      <c r="E83" s="9" t="inlineStr">
        <is>
          <t>П'ятий платіж</t>
        </is>
      </c>
      <c r="F83" s="10" t="n">
        <v>651792.28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2026-10</t>
        </is>
      </c>
      <c r="K83" s="12" t="inlineStr"/>
    </row>
    <row r="84">
      <c r="E84" s="3" t="inlineStr">
        <is>
          <t>Разом</t>
        </is>
      </c>
      <c r="F84" s="13">
        <f>SUM(F2:F83)</f>
        <v/>
      </c>
      <c r="G84" s="13">
        <f>SUM(G2:G83)</f>
        <v/>
      </c>
      <c r="H84" s="13">
        <f>SUM(H2:H83)</f>
        <v/>
      </c>
    </row>
  </sheetData>
  <autoFilter ref="A1:I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7778735.670000001</v>
      </c>
      <c r="F2" s="11" t="n">
        <v>0</v>
      </c>
      <c r="G2" s="11">
        <f>E2-F2</f>
        <v/>
      </c>
    </row>
    <row r="3">
      <c r="A3" s="8" t="n">
        <v>46165</v>
      </c>
      <c r="B3" s="9" t="n">
        <v>6704</v>
      </c>
      <c r="C3" s="9" t="inlineStr">
        <is>
          <t>SCP Taurus 236PS</t>
        </is>
      </c>
      <c r="D3" s="9" t="inlineStr">
        <is>
          <t>Третій платіж</t>
        </is>
      </c>
      <c r="E3" s="11" t="n">
        <v>4585332.45</v>
      </c>
      <c r="F3" s="11" t="n">
        <v>0</v>
      </c>
      <c r="G3" s="11">
        <f>E3-F3</f>
        <v/>
      </c>
    </row>
    <row r="4">
      <c r="A4" s="8" t="n">
        <v>46113</v>
      </c>
      <c r="B4" s="9" t="n">
        <v>7068</v>
      </c>
      <c r="C4" s="9" t="inlineStr">
        <is>
          <t>А Remtec energy  AGM  160 TP</t>
        </is>
      </c>
      <c r="D4" s="9" t="inlineStr">
        <is>
          <t>Авансовий платіж</t>
        </is>
      </c>
      <c r="E4" s="11" t="n">
        <v>5640128</v>
      </c>
      <c r="F4" s="11" t="n">
        <v>1692038</v>
      </c>
      <c r="G4" s="11">
        <f>E4-F4</f>
        <v/>
      </c>
    </row>
    <row r="5">
      <c r="A5" s="8" t="n">
        <v>46213</v>
      </c>
      <c r="B5" s="9" t="n">
        <v>8188</v>
      </c>
      <c r="C5" s="9" t="inlineStr">
        <is>
          <t>Фундамент Ужгород Стефанія</t>
        </is>
      </c>
      <c r="D5" s="9" t="inlineStr">
        <is>
          <t>Другий платіж</t>
        </is>
      </c>
      <c r="E5" s="11" t="n">
        <v>73926</v>
      </c>
      <c r="F5" s="11" t="n">
        <v>0</v>
      </c>
      <c r="G5" s="11">
        <f>E5-F5</f>
        <v/>
      </c>
    </row>
    <row r="6">
      <c r="D6" s="3" t="inlineStr">
        <is>
          <t>Разом</t>
        </is>
      </c>
      <c r="E6" s="13">
        <f>SUM(E2:E5)</f>
        <v/>
      </c>
      <c r="F6" s="13">
        <f>SUM(F2:F5)</f>
        <v/>
      </c>
      <c r="G6" s="13">
        <f>SUM(G2:G5)</f>
        <v/>
      </c>
    </row>
  </sheetData>
  <autoFilter ref="A1:G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2026-07-31T03:45:09Z</dcterms:created>
  <dcterms:modified xmlns:dcterms="http://purl.org/dc/terms/" xmlns:xsi="http://www.w3.org/2001/XMLSchema-instance" xsi:type="dcterms:W3CDTF">2026-07-31T03:45:09Z</dcterms:modified>
</cp:coreProperties>
</file>