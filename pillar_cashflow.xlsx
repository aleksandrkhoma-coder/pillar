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надходжень'!$A$1:$I$94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31.08.2026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2594000</v>
      </c>
      <c r="G10" s="10" t="n">
        <v>2594000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5188000</v>
      </c>
      <c r="G11" s="10" t="n">
        <v>5188000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1867680</v>
      </c>
      <c r="G39" s="10" t="n">
        <v>1867680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456544</v>
      </c>
      <c r="G44" s="10" t="n">
        <v>456544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8668629.200000001</v>
      </c>
      <c r="G54" s="10" t="n">
        <v>8668629.200000001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4082956</v>
      </c>
      <c r="G57" s="10" t="n">
        <v>4082956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6024</v>
      </c>
      <c r="C60" s="9" t="inlineStr">
        <is>
          <t>-26 ГШ с. Липовиця Черніг. обл. Модулекс</t>
        </is>
      </c>
      <c r="D60" s="9" t="inlineStr">
        <is>
          <t>Заянчковський</t>
        </is>
      </c>
      <c r="E60" s="9" t="inlineStr">
        <is>
          <t>Авансовий платіж</t>
        </is>
      </c>
      <c r="F60" s="10" t="n">
        <v>201600</v>
      </c>
      <c r="G60" s="10" t="n">
        <v>201600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75926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/>
    </row>
    <row r="65">
      <c r="A65" s="8" t="n">
        <v>46239</v>
      </c>
      <c r="B65" s="9" t="n">
        <v>6130</v>
      </c>
      <c r="C65" s="9" t="inlineStr">
        <is>
          <t>-26 ГШ Фундамент домобудування Євро Простір Марія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73335</v>
      </c>
      <c r="G65" s="10" t="n">
        <v>73335</v>
      </c>
      <c r="H65" s="11">
        <f>F65-G65</f>
        <v/>
      </c>
      <c r="I65" s="9" t="inlineStr">
        <is>
          <t>отримано</t>
        </is>
      </c>
      <c r="J65" t="inlineStr">
        <is>
          <t>2026-08</t>
        </is>
      </c>
      <c r="K65" s="12" t="inlineStr"/>
    </row>
    <row r="66">
      <c r="A66" s="8" t="n">
        <v>46240</v>
      </c>
      <c r="B66" s="9" t="n">
        <v>5870</v>
      </c>
      <c r="C66" s="9" t="inlineStr">
        <is>
          <t>Carport Airport Munich</t>
        </is>
      </c>
      <c r="D66" s="9" t="inlineStr">
        <is>
          <t>Хома</t>
        </is>
      </c>
      <c r="E66" s="9" t="inlineStr">
        <is>
          <t>Другий платіж</t>
        </is>
      </c>
      <c r="F66" s="10" t="n">
        <v>4966213</v>
      </c>
      <c r="G66" s="10" t="n">
        <v>4966213</v>
      </c>
      <c r="H66" s="11">
        <f>F66-G66</f>
        <v/>
      </c>
      <c r="I66" s="9" t="inlineStr">
        <is>
          <t>отримано</t>
        </is>
      </c>
      <c r="J66" t="inlineStr">
        <is>
          <t>2026-08</t>
        </is>
      </c>
      <c r="K66" s="12" t="inlineStr">
        <is>
          <t>€95 725</t>
        </is>
      </c>
    </row>
    <row r="67">
      <c r="A67" s="8" t="n">
        <v>46241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756151</v>
      </c>
      <c r="G67" s="10" t="n">
        <v>756151</v>
      </c>
      <c r="H67" s="11">
        <f>F67-G67</f>
        <v/>
      </c>
      <c r="I67" s="9" t="inlineStr">
        <is>
          <t>отримано</t>
        </is>
      </c>
      <c r="J67" t="inlineStr">
        <is>
          <t>2026-08</t>
        </is>
      </c>
      <c r="K67" s="12" t="inlineStr">
        <is>
          <t>€14 575</t>
        </is>
      </c>
    </row>
    <row r="68">
      <c r="A68" s="8" t="n">
        <v>46253</v>
      </c>
      <c r="B68" s="9" t="n">
        <v>5904</v>
      </c>
      <c r="C68" s="9" t="inlineStr">
        <is>
          <t>SOLAR Карпорти шт. 10 шт. 0.03 Мвт SIA Realcom</t>
        </is>
      </c>
      <c r="D68" s="9" t="inlineStr">
        <is>
          <t>Хома</t>
        </is>
      </c>
      <c r="E68" s="9" t="inlineStr">
        <is>
          <t>Авансовий платіж</t>
        </is>
      </c>
      <c r="F68" s="10" t="n">
        <v>10815</v>
      </c>
      <c r="G68" s="10" t="n">
        <v>10815</v>
      </c>
      <c r="H68" s="11">
        <f>F68-G68</f>
        <v/>
      </c>
      <c r="I68" s="9" t="inlineStr">
        <is>
          <t>отримано</t>
        </is>
      </c>
      <c r="J68" t="inlineStr">
        <is>
          <t>2026-08</t>
        </is>
      </c>
      <c r="K68" s="12" t="inlineStr"/>
    </row>
    <row r="69">
      <c r="A69" s="8" t="n">
        <v>46255</v>
      </c>
      <c r="B69" s="9" t="n">
        <v>7414</v>
      </c>
      <c r="C69" s="9" t="inlineStr">
        <is>
          <t>-26 ГШ Фундамент домобудування Володимир</t>
        </is>
      </c>
      <c r="D69" s="9" t="inlineStr">
        <is>
          <t>Заянчковський</t>
        </is>
      </c>
      <c r="E69" s="9" t="inlineStr">
        <is>
          <t>Авансовий платіж</t>
        </is>
      </c>
      <c r="F69" s="10" t="n">
        <v>94000</v>
      </c>
      <c r="G69" s="10" t="n">
        <v>94000</v>
      </c>
      <c r="H69" s="11">
        <f>F69-G69</f>
        <v/>
      </c>
      <c r="I69" s="9" t="inlineStr">
        <is>
          <t>отримано</t>
        </is>
      </c>
      <c r="J69" t="inlineStr">
        <is>
          <t>2026-08</t>
        </is>
      </c>
      <c r="K69" s="12" t="inlineStr"/>
    </row>
    <row r="70">
      <c r="A70" s="8" t="n">
        <v>46255</v>
      </c>
      <c r="B70" s="9" t="n">
        <v>7894</v>
      </c>
      <c r="C70" s="9" t="inlineStr">
        <is>
          <t>SCP Фора  Хотів</t>
        </is>
      </c>
      <c r="D70" s="9" t="inlineStr">
        <is>
          <t>Донська</t>
        </is>
      </c>
      <c r="E70" s="9" t="inlineStr">
        <is>
          <t>Другий платіж</t>
        </is>
      </c>
      <c r="F70" s="10" t="n">
        <v>185968</v>
      </c>
      <c r="G70" s="10" t="n">
        <v>185968</v>
      </c>
      <c r="H70" s="11">
        <f>F70-G70</f>
        <v/>
      </c>
      <c r="I70" s="9" t="inlineStr">
        <is>
          <t>отримано</t>
        </is>
      </c>
      <c r="J70" t="inlineStr">
        <is>
          <t>2026-08</t>
        </is>
      </c>
      <c r="K70" s="12" t="inlineStr"/>
    </row>
    <row r="71">
      <c r="A71" s="8" t="n">
        <v>46255</v>
      </c>
      <c r="B71" s="9" t="n">
        <v>7894</v>
      </c>
      <c r="C71" s="9" t="inlineStr">
        <is>
          <t>SCP Фора  Хотів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185967.99</v>
      </c>
      <c r="G71" s="10" t="n">
        <v>185967.99</v>
      </c>
      <c r="H71" s="11">
        <f>F71-G71</f>
        <v/>
      </c>
      <c r="I71" s="9" t="inlineStr">
        <is>
          <t>отримано</t>
        </is>
      </c>
      <c r="J71" t="inlineStr">
        <is>
          <t>2026-08</t>
        </is>
      </c>
      <c r="K71" s="12" t="inlineStr"/>
    </row>
    <row r="72">
      <c r="A72" s="8" t="n">
        <v>46255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Четвертий платіж</t>
        </is>
      </c>
      <c r="F72" s="10" t="n">
        <v>737597.4</v>
      </c>
      <c r="G72" s="10" t="n">
        <v>737597.4</v>
      </c>
      <c r="H72" s="11">
        <f>F72-G72</f>
        <v/>
      </c>
      <c r="I72" s="9" t="inlineStr">
        <is>
          <t>отримано</t>
        </is>
      </c>
      <c r="J72" t="inlineStr">
        <is>
          <t>2026-08</t>
        </is>
      </c>
      <c r="K72" s="12" t="inlineStr"/>
    </row>
    <row r="73">
      <c r="A73" s="8" t="n">
        <v>46255</v>
      </c>
      <c r="B73" s="9" t="n">
        <v>8898</v>
      </c>
      <c r="C73" s="9" t="inlineStr">
        <is>
          <t>Григорівка №3</t>
        </is>
      </c>
      <c r="D73" s="9" t="inlineStr">
        <is>
          <t>Донська</t>
        </is>
      </c>
      <c r="E73" s="9" t="inlineStr">
        <is>
          <t>Другий платіж</t>
        </is>
      </c>
      <c r="F73" s="10" t="n">
        <v>188043.75</v>
      </c>
      <c r="G73" s="10" t="n">
        <v>188043.75</v>
      </c>
      <c r="H73" s="11">
        <f>F73-G73</f>
        <v/>
      </c>
      <c r="I73" s="9" t="inlineStr">
        <is>
          <t>отримано</t>
        </is>
      </c>
      <c r="J73" t="inlineStr">
        <is>
          <t>2026-08</t>
        </is>
      </c>
      <c r="K73" s="12" t="inlineStr"/>
    </row>
    <row r="74">
      <c r="A74" s="8" t="n">
        <v>46260</v>
      </c>
      <c r="B74" s="9" t="n">
        <v>6406</v>
      </c>
      <c r="C74" s="9" t="inlineStr">
        <is>
          <t>Максим Яловий Чинадієво</t>
        </is>
      </c>
      <c r="D74" s="9" t="inlineStr">
        <is>
          <t>Іщук</t>
        </is>
      </c>
      <c r="E74" s="9" t="inlineStr">
        <is>
          <t>Другий платіж</t>
        </is>
      </c>
      <c r="F74" s="10" t="n">
        <v>218602</v>
      </c>
      <c r="G74" s="10" t="n">
        <v>170788</v>
      </c>
      <c r="H74" s="11">
        <f>F74-G74</f>
        <v/>
      </c>
      <c r="I74" s="9" t="inlineStr">
        <is>
          <t>прострочено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8878</v>
      </c>
      <c r="C75" s="9" t="inlineStr">
        <is>
          <t>А ТОВ КОМПАНІЯ ВОЛЬТ СЕРВІС ГРУП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12823</v>
      </c>
      <c r="G75" s="10" t="n">
        <v>12823</v>
      </c>
      <c r="H75" s="11">
        <f>F75-G75</f>
        <v/>
      </c>
      <c r="I75" s="9" t="inlineStr">
        <is>
          <t>отримано</t>
        </is>
      </c>
      <c r="J75" t="inlineStr">
        <is>
          <t>2026-08</t>
        </is>
      </c>
      <c r="K75" s="12" t="inlineStr"/>
    </row>
    <row r="76">
      <c r="A76" s="8" t="n">
        <v>46266</v>
      </c>
      <c r="B76" s="9" t="n">
        <v>6356</v>
      </c>
      <c r="C76" s="9" t="inlineStr">
        <is>
          <t>-26 SOLAR Наземні СЕС 3 Kirill Trokhin</t>
        </is>
      </c>
      <c r="D76" s="9" t="inlineStr">
        <is>
          <t>Хома</t>
        </is>
      </c>
      <c r="E76" s="9" t="inlineStr">
        <is>
          <t>Авансовий платіж</t>
        </is>
      </c>
      <c r="F76" s="10" t="n">
        <v>51392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46269</v>
      </c>
      <c r="B78" s="9" t="n">
        <v>5870</v>
      </c>
      <c r="C78" s="9" t="inlineStr">
        <is>
          <t>Carport Airport Munich</t>
        </is>
      </c>
      <c r="D78" s="9" t="inlineStr">
        <is>
          <t>Хома</t>
        </is>
      </c>
      <c r="E78" s="9" t="inlineStr">
        <is>
          <t>Четвертий платіж</t>
        </is>
      </c>
      <c r="F78" s="10" t="n">
        <v>907900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€17 500</t>
        </is>
      </c>
    </row>
    <row r="79">
      <c r="A79" s="8" t="n">
        <v>46270</v>
      </c>
      <c r="B79" s="9" t="n">
        <v>5910</v>
      </c>
      <c r="C79" s="9" t="inlineStr">
        <is>
          <t>SGM Brdovec, Хорватия</t>
        </is>
      </c>
      <c r="D79" s="9" t="inlineStr">
        <is>
          <t>Донська</t>
        </is>
      </c>
      <c r="E79" s="9" t="inlineStr">
        <is>
          <t>Другий платіж 60%</t>
        </is>
      </c>
      <c r="F79" s="10" t="n">
        <v>17337310.28</v>
      </c>
      <c r="G79" s="10" t="n">
        <v>2978949.6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>
        <is>
          <t>€334 181</t>
        </is>
      </c>
    </row>
    <row r="80">
      <c r="A80" s="8" t="n">
        <v>46273</v>
      </c>
      <c r="B80" s="9" t="n">
        <v>7002</v>
      </c>
      <c r="C80" s="9" t="inlineStr">
        <is>
          <t>Фора SCP Млиново</t>
        </is>
      </c>
      <c r="D80" s="9" t="inlineStr">
        <is>
          <t>Донська</t>
        </is>
      </c>
      <c r="E80" s="9" t="inlineStr">
        <is>
          <t>П'ятий платіж</t>
        </is>
      </c>
      <c r="F80" s="10" t="n">
        <v>573945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46274</v>
      </c>
      <c r="B81" s="9" t="n">
        <v>3456</v>
      </c>
      <c r="C81" s="9" t="inlineStr">
        <is>
          <t>А Підселання фундаменту</t>
        </is>
      </c>
      <c r="D81" s="9" t="inlineStr">
        <is>
          <t>Донська</t>
        </is>
      </c>
      <c r="E81" s="9" t="inlineStr">
        <is>
          <t>Третій платіж</t>
        </is>
      </c>
      <c r="F81" s="10" t="n">
        <v>335974.68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46280</v>
      </c>
      <c r="B82" s="9" t="n">
        <v>8898</v>
      </c>
      <c r="C82" s="9" t="inlineStr">
        <is>
          <t>Григорівка №3</t>
        </is>
      </c>
      <c r="D82" s="9" t="inlineStr">
        <is>
          <t>Донська</t>
        </is>
      </c>
      <c r="E82" s="9" t="inlineStr">
        <is>
          <t>Третій платіж</t>
        </is>
      </c>
      <c r="F82" s="10" t="n">
        <v>188043.75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46283</v>
      </c>
      <c r="B83" s="9" t="n">
        <v>7508</v>
      </c>
      <c r="C83" s="9" t="inlineStr">
        <is>
          <t>8602 Євген Весільна тераса Подорожнє</t>
        </is>
      </c>
      <c r="D83" s="9" t="inlineStr">
        <is>
          <t>Заянчковський</t>
        </is>
      </c>
      <c r="E83" s="9" t="inlineStr">
        <is>
          <t>Третій платіж</t>
        </is>
      </c>
      <c r="F83" s="10" t="n">
        <v>750999.9399999999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2026-09</t>
        </is>
      </c>
      <c r="K83" s="12" t="inlineStr"/>
    </row>
    <row r="84">
      <c r="A84" s="8" t="n">
        <v>46288</v>
      </c>
      <c r="B84" s="9" t="n">
        <v>7414</v>
      </c>
      <c r="C84" s="9" t="inlineStr">
        <is>
          <t>-26 ГШ Фундамент домобудування Володимир</t>
        </is>
      </c>
      <c r="D84" s="9" t="inlineStr">
        <is>
          <t>Заянчковський</t>
        </is>
      </c>
      <c r="E84" s="9" t="inlineStr">
        <is>
          <t>Другий платіж</t>
        </is>
      </c>
      <c r="F84" s="10" t="n">
        <v>57497.5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2026-09</t>
        </is>
      </c>
      <c r="K84" s="12" t="inlineStr"/>
    </row>
    <row r="85">
      <c r="A85" s="8" t="n">
        <v>46293</v>
      </c>
      <c r="B85" s="9" t="n">
        <v>6352</v>
      </c>
      <c r="C85" s="9" t="inlineStr">
        <is>
          <t>АБМК SCP Blade 8PS</t>
        </is>
      </c>
      <c r="D85" s="9" t="inlineStr">
        <is>
          <t>Донська</t>
        </is>
      </c>
      <c r="E85" s="9" t="inlineStr">
        <is>
          <t>Третій платіж</t>
        </is>
      </c>
      <c r="F85" s="10" t="n">
        <v>1119237.26</v>
      </c>
      <c r="G85" s="10" t="n">
        <v>0</v>
      </c>
      <c r="H85" s="11">
        <f>F85-G85</f>
        <v/>
      </c>
      <c r="I85" s="9" t="inlineStr">
        <is>
          <t>очікується</t>
        </is>
      </c>
      <c r="J85" t="inlineStr">
        <is>
          <t>2026-09</t>
        </is>
      </c>
      <c r="K85" s="12" t="inlineStr"/>
    </row>
    <row r="86">
      <c r="A86" s="8" t="n">
        <v>46293</v>
      </c>
      <c r="B86" s="9" t="n">
        <v>6352</v>
      </c>
      <c r="C86" s="9" t="inlineStr">
        <is>
          <t>АБМК SCP Blade 8PS</t>
        </is>
      </c>
      <c r="D86" s="9" t="inlineStr">
        <is>
          <t>Донська</t>
        </is>
      </c>
      <c r="E86" s="9" t="inlineStr">
        <is>
          <t>Четвертий платіж</t>
        </is>
      </c>
      <c r="F86" s="10" t="n">
        <v>371982.96</v>
      </c>
      <c r="G86" s="10" t="n">
        <v>0</v>
      </c>
      <c r="H86" s="11">
        <f>F86-G86</f>
        <v/>
      </c>
      <c r="I86" s="9" t="inlineStr">
        <is>
          <t>очікується</t>
        </is>
      </c>
      <c r="J86" t="inlineStr">
        <is>
          <t>2026-09</t>
        </is>
      </c>
      <c r="K86" s="12" t="inlineStr"/>
    </row>
    <row r="87">
      <c r="A87" s="8" t="n">
        <v>46295</v>
      </c>
      <c r="B87" s="9" t="n">
        <v>7244</v>
      </c>
      <c r="C87" s="9" t="inlineStr">
        <is>
          <t>В Модулекс модульна будівля Чернігів</t>
        </is>
      </c>
      <c r="D87" s="9" t="inlineStr">
        <is>
          <t>Заянчковський</t>
        </is>
      </c>
      <c r="E87" s="9" t="inlineStr">
        <is>
          <t>П'ятий платіж</t>
        </is>
      </c>
      <c r="F87" s="10" t="n">
        <v>132708.6</v>
      </c>
      <c r="G87" s="10" t="n">
        <v>0</v>
      </c>
      <c r="H87" s="11">
        <f>F87-G87</f>
        <v/>
      </c>
      <c r="I87" s="9" t="inlineStr">
        <is>
          <t>очікується</t>
        </is>
      </c>
      <c r="J87" t="inlineStr">
        <is>
          <t>2026-09</t>
        </is>
      </c>
      <c r="K87" s="12" t="inlineStr"/>
    </row>
    <row r="88">
      <c r="A88" s="8" t="n">
        <v>46295</v>
      </c>
      <c r="B88" s="9" t="n">
        <v>7414</v>
      </c>
      <c r="C88" s="9" t="inlineStr">
        <is>
          <t>-26 ГШ Фундамент домобудування Володимир</t>
        </is>
      </c>
      <c r="D88" s="9" t="inlineStr">
        <is>
          <t>Заянчковський</t>
        </is>
      </c>
      <c r="E88" s="9" t="inlineStr">
        <is>
          <t>Третій платіж</t>
        </is>
      </c>
      <c r="F88" s="10" t="n">
        <v>57497.5</v>
      </c>
      <c r="G88" s="10" t="n">
        <v>0</v>
      </c>
      <c r="H88" s="11">
        <f>F88-G88</f>
        <v/>
      </c>
      <c r="I88" s="9" t="inlineStr">
        <is>
          <t>очікується</t>
        </is>
      </c>
      <c r="J88" t="inlineStr">
        <is>
          <t>2026-09</t>
        </is>
      </c>
      <c r="K88" s="12" t="inlineStr"/>
    </row>
    <row r="89">
      <c r="A89" s="8" t="n">
        <v>46300</v>
      </c>
      <c r="B89" s="9" t="n">
        <v>5910</v>
      </c>
      <c r="C89" s="9" t="inlineStr">
        <is>
          <t>SGM Brdovec, Хорватия</t>
        </is>
      </c>
      <c r="D89" s="9" t="inlineStr">
        <is>
          <t>Донська</t>
        </is>
      </c>
      <c r="E89" s="9" t="inlineStr">
        <is>
          <t>Третій платіж</t>
        </is>
      </c>
      <c r="F89" s="10" t="n">
        <v>2889404.72</v>
      </c>
      <c r="G89" s="10" t="n">
        <v>248245.8</v>
      </c>
      <c r="H89" s="11">
        <f>F89-G89</f>
        <v/>
      </c>
      <c r="I89" s="9" t="inlineStr">
        <is>
          <t>очікується</t>
        </is>
      </c>
      <c r="J89" t="inlineStr">
        <is>
          <t>2026-10</t>
        </is>
      </c>
      <c r="K89" s="12" t="inlineStr">
        <is>
          <t>€55 694</t>
        </is>
      </c>
    </row>
    <row r="90">
      <c r="A90" s="8" t="n">
        <v>46304</v>
      </c>
      <c r="B90" s="9" t="n">
        <v>6024</v>
      </c>
      <c r="C90" s="9" t="inlineStr">
        <is>
          <t>-26 ГШ с. Липовиця Черніг. обл. Модулекс</t>
        </is>
      </c>
      <c r="D90" s="9" t="inlineStr">
        <is>
          <t>Заянчковський</t>
        </is>
      </c>
      <c r="E90" s="9" t="inlineStr">
        <is>
          <t>Другий платіж</t>
        </is>
      </c>
      <c r="F90" s="10" t="n">
        <v>246402</v>
      </c>
      <c r="G90" s="10" t="n">
        <v>0</v>
      </c>
      <c r="H90" s="11">
        <f>F90-G90</f>
        <v/>
      </c>
      <c r="I90" s="9" t="inlineStr">
        <is>
          <t>очікується</t>
        </is>
      </c>
      <c r="J90" t="inlineStr">
        <is>
          <t>2026-10</t>
        </is>
      </c>
      <c r="K90" s="12" t="inlineStr"/>
    </row>
    <row r="91">
      <c r="A91" s="8" t="n">
        <v>46304</v>
      </c>
      <c r="B91" s="9" t="n">
        <v>7894</v>
      </c>
      <c r="C91" s="9" t="inlineStr">
        <is>
          <t>SCP Фора  Хотів</t>
        </is>
      </c>
      <c r="D91" s="9" t="inlineStr">
        <is>
          <t>Донська</t>
        </is>
      </c>
      <c r="E91" s="9" t="inlineStr">
        <is>
          <t>П'ятий платіж</t>
        </is>
      </c>
      <c r="F91" s="10" t="n">
        <v>737597.4</v>
      </c>
      <c r="G91" s="10" t="n">
        <v>0</v>
      </c>
      <c r="H91" s="11">
        <f>F91-G91</f>
        <v/>
      </c>
      <c r="I91" s="9" t="inlineStr">
        <is>
          <t>очікується</t>
        </is>
      </c>
      <c r="J91" t="inlineStr">
        <is>
          <t>2026-10</t>
        </is>
      </c>
      <c r="K91" s="12" t="inlineStr"/>
    </row>
    <row r="92">
      <c r="A92" s="8" t="n">
        <v>46316</v>
      </c>
      <c r="B92" s="9" t="n">
        <v>6356</v>
      </c>
      <c r="C92" s="9" t="inlineStr">
        <is>
          <t>-26 SOLAR Наземні СЕС 3 Kirill Trokhin</t>
        </is>
      </c>
      <c r="D92" s="9" t="inlineStr">
        <is>
          <t>Хома</t>
        </is>
      </c>
      <c r="E92" s="9" t="inlineStr">
        <is>
          <t>Другий платіж</t>
        </is>
      </c>
      <c r="F92" s="10" t="n">
        <v>64240</v>
      </c>
      <c r="G92" s="10" t="n">
        <v>0</v>
      </c>
      <c r="H92" s="11">
        <f>F92-G92</f>
        <v/>
      </c>
      <c r="I92" s="9" t="inlineStr">
        <is>
          <t>очікується</t>
        </is>
      </c>
      <c r="J92" t="inlineStr">
        <is>
          <t>2026-10</t>
        </is>
      </c>
      <c r="K92" s="12" t="inlineStr"/>
    </row>
    <row r="93">
      <c r="A93" s="8" t="n">
        <v>46321</v>
      </c>
      <c r="B93" s="9" t="n">
        <v>6352</v>
      </c>
      <c r="C93" s="9" t="inlineStr">
        <is>
          <t>АБМК SCP Blade 8PS</t>
        </is>
      </c>
      <c r="D93" s="9" t="inlineStr">
        <is>
          <t>Донська</t>
        </is>
      </c>
      <c r="E93" s="9" t="inlineStr">
        <is>
          <t>П'ятий платіж</t>
        </is>
      </c>
      <c r="F93" s="10" t="n">
        <v>651792.28</v>
      </c>
      <c r="G93" s="10" t="n">
        <v>0</v>
      </c>
      <c r="H93" s="11">
        <f>F93-G93</f>
        <v/>
      </c>
      <c r="I93" s="9" t="inlineStr">
        <is>
          <t>очікується</t>
        </is>
      </c>
      <c r="J93" t="inlineStr">
        <is>
          <t>2026-10</t>
        </is>
      </c>
      <c r="K93" s="12" t="inlineStr"/>
    </row>
    <row r="94">
      <c r="A94" s="8" t="n">
        <v>46322</v>
      </c>
      <c r="B94" s="9" t="n">
        <v>6356</v>
      </c>
      <c r="C94" s="9" t="inlineStr">
        <is>
          <t>-26 SOLAR Наземні СЕС 3 Kirill Trokhin</t>
        </is>
      </c>
      <c r="D94" s="9" t="inlineStr">
        <is>
          <t>Хома</t>
        </is>
      </c>
      <c r="E94" s="9" t="inlineStr">
        <is>
          <t>Третій платіж</t>
        </is>
      </c>
      <c r="F94" s="10" t="n">
        <v>12848</v>
      </c>
      <c r="G94" s="10" t="n">
        <v>0</v>
      </c>
      <c r="H94" s="11">
        <f>F94-G94</f>
        <v/>
      </c>
      <c r="I94" s="9" t="inlineStr">
        <is>
          <t>очікується</t>
        </is>
      </c>
      <c r="J94" t="inlineStr">
        <is>
          <t>2026-10</t>
        </is>
      </c>
      <c r="K94" s="12" t="inlineStr"/>
    </row>
    <row r="95">
      <c r="E95" s="3" t="inlineStr">
        <is>
          <t>Разом</t>
        </is>
      </c>
      <c r="F95" s="13">
        <f>SUM(F2:F94)</f>
        <v/>
      </c>
      <c r="G95" s="13">
        <f>SUM(G2:G94)</f>
        <v/>
      </c>
      <c r="H95" s="13">
        <f>SUM(H2:H94)</f>
        <v/>
      </c>
    </row>
  </sheetData>
  <autoFilter ref="A1:I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46260</v>
      </c>
      <c r="B2" s="9" t="n">
        <v>6406</v>
      </c>
      <c r="C2" s="9" t="inlineStr">
        <is>
          <t>Максим Яловий Чинадієво</t>
        </is>
      </c>
      <c r="D2" s="9" t="inlineStr">
        <is>
          <t>Другий платіж</t>
        </is>
      </c>
      <c r="E2" s="11" t="n">
        <v>218602</v>
      </c>
      <c r="F2" s="11" t="n">
        <v>170788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2026-08-31T19:13:57Z</dcterms:created>
  <dcterms:modified xmlns:dcterms="http://purl.org/dc/terms/" xmlns:xsi="http://www.w3.org/2001/XMLSchema-instance" xsi:type="dcterms:W3CDTF">2026-08-31T19:13:57Z</dcterms:modified>
</cp:coreProperties>
</file>