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надходжень'!$A$1:$I$94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01.09.2026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2594000</v>
      </c>
      <c r="G10" s="10" t="n">
        <v>2594000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5188000</v>
      </c>
      <c r="G11" s="10" t="n">
        <v>5188000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1867680</v>
      </c>
      <c r="G39" s="10" t="n">
        <v>1867680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456544</v>
      </c>
      <c r="G44" s="10" t="n">
        <v>456544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8668629.200000001</v>
      </c>
      <c r="G54" s="10" t="n">
        <v>8668629.200000001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4082956</v>
      </c>
      <c r="G57" s="10" t="n">
        <v>4082956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4966213</v>
      </c>
      <c r="G66" s="10" t="n">
        <v>4966213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756151</v>
      </c>
      <c r="G67" s="10" t="n">
        <v>756151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46253</v>
      </c>
      <c r="B68" s="9" t="n">
        <v>5904</v>
      </c>
      <c r="C68" s="9" t="inlineStr">
        <is>
          <t>SOLAR Карпорти шт. 10 шт. 0.03 Мвт SIA Realcom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10815</v>
      </c>
      <c r="G68" s="10" t="n">
        <v>10815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7414</v>
      </c>
      <c r="C69" s="9" t="inlineStr">
        <is>
          <t>-26 ГШ Фундамент домобудування Володимир</t>
        </is>
      </c>
      <c r="D69" s="9" t="inlineStr">
        <is>
          <t>Заянчковський</t>
        </is>
      </c>
      <c r="E69" s="9" t="inlineStr">
        <is>
          <t>Авансовий платіж</t>
        </is>
      </c>
      <c r="F69" s="10" t="n">
        <v>94000</v>
      </c>
      <c r="G69" s="10" t="n">
        <v>94000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185968</v>
      </c>
      <c r="G70" s="10" t="n">
        <v>185968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185967.99</v>
      </c>
      <c r="G71" s="10" t="n">
        <v>185967.99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Четвертий платіж</t>
        </is>
      </c>
      <c r="F72" s="10" t="n">
        <v>737597.4</v>
      </c>
      <c r="G72" s="10" t="n">
        <v>737597.4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8898</v>
      </c>
      <c r="C73" s="9" t="inlineStr">
        <is>
          <t>Григорівка №3</t>
        </is>
      </c>
      <c r="D73" s="9" t="inlineStr">
        <is>
          <t>Донська</t>
        </is>
      </c>
      <c r="E73" s="9" t="inlineStr">
        <is>
          <t>Другий платіж</t>
        </is>
      </c>
      <c r="F73" s="10" t="n">
        <v>188043.75</v>
      </c>
      <c r="G73" s="10" t="n">
        <v>188043.75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46260</v>
      </c>
      <c r="B74" s="9" t="n">
        <v>6406</v>
      </c>
      <c r="C74" s="9" t="inlineStr">
        <is>
          <t>Максим Яловий Чинадієво</t>
        </is>
      </c>
      <c r="D74" s="9" t="inlineStr">
        <is>
          <t>Іщук</t>
        </is>
      </c>
      <c r="E74" s="9" t="inlineStr">
        <is>
          <t>Другий платіж</t>
        </is>
      </c>
      <c r="F74" s="10" t="n">
        <v>218602</v>
      </c>
      <c r="G74" s="10" t="n">
        <v>170788</v>
      </c>
      <c r="H74" s="11">
        <f>F74-G74</f>
        <v/>
      </c>
      <c r="I74" s="9" t="inlineStr">
        <is>
          <t>прострочено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8878</v>
      </c>
      <c r="C75" s="9" t="inlineStr">
        <is>
          <t>А ТОВ КОМПАНІЯ ВОЛЬТ СЕРВІС ГРУП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12823</v>
      </c>
      <c r="G75" s="10" t="n">
        <v>12823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46266</v>
      </c>
      <c r="B76" s="9" t="n">
        <v>6356</v>
      </c>
      <c r="C76" s="9" t="inlineStr">
        <is>
          <t>-26 SOLAR Наземні СЕС 3 Kirill Trokhin</t>
        </is>
      </c>
      <c r="D76" s="9" t="inlineStr">
        <is>
          <t>Хома</t>
        </is>
      </c>
      <c r="E76" s="9" t="inlineStr">
        <is>
          <t>Авансовий платіж</t>
        </is>
      </c>
      <c r="F76" s="10" t="n">
        <v>51392</v>
      </c>
      <c r="G76" s="10" t="n">
        <v>0</v>
      </c>
      <c r="H76" s="11">
        <f>F76-G76</f>
        <v/>
      </c>
      <c r="I76" s="9" t="inlineStr">
        <is>
          <t>прострочено</t>
        </is>
      </c>
      <c r="J76" t="inlineStr">
        <is>
          <t>2026-09</t>
        </is>
      </c>
      <c r="K76" s="12" t="inlineStr"/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46269</v>
      </c>
      <c r="B78" s="9" t="n">
        <v>5870</v>
      </c>
      <c r="C78" s="9" t="inlineStr">
        <is>
          <t>Carport Airport Munich</t>
        </is>
      </c>
      <c r="D78" s="9" t="inlineStr">
        <is>
          <t>Хома</t>
        </is>
      </c>
      <c r="E78" s="9" t="inlineStr">
        <is>
          <t>Четвертий платіж</t>
        </is>
      </c>
      <c r="F78" s="10" t="n">
        <v>907900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>
        <is>
          <t>€17 500</t>
        </is>
      </c>
    </row>
    <row r="79">
      <c r="A79" s="8" t="n">
        <v>46270</v>
      </c>
      <c r="B79" s="9" t="n">
        <v>5910</v>
      </c>
      <c r="C79" s="9" t="inlineStr">
        <is>
          <t>SGM Brdovec, Хорватия</t>
        </is>
      </c>
      <c r="D79" s="9" t="inlineStr">
        <is>
          <t>Донська</t>
        </is>
      </c>
      <c r="E79" s="9" t="inlineStr">
        <is>
          <t>Другий платіж 60%</t>
        </is>
      </c>
      <c r="F79" s="10" t="n">
        <v>17337310.28</v>
      </c>
      <c r="G79" s="10" t="n">
        <v>2978949.6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>
        <is>
          <t>€334 181</t>
        </is>
      </c>
    </row>
    <row r="80">
      <c r="A80" s="8" t="n">
        <v>46273</v>
      </c>
      <c r="B80" s="9" t="n">
        <v>7002</v>
      </c>
      <c r="C80" s="9" t="inlineStr">
        <is>
          <t>Фора SCP Млиново</t>
        </is>
      </c>
      <c r="D80" s="9" t="inlineStr">
        <is>
          <t>Донська</t>
        </is>
      </c>
      <c r="E80" s="9" t="inlineStr">
        <is>
          <t>П'ятий платіж</t>
        </is>
      </c>
      <c r="F80" s="10" t="n">
        <v>573945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46274</v>
      </c>
      <c r="B81" s="9" t="n">
        <v>3456</v>
      </c>
      <c r="C81" s="9" t="inlineStr">
        <is>
          <t>А Підселання фундаменту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335974.68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46288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Другий платіж</t>
        </is>
      </c>
      <c r="F84" s="10" t="n">
        <v>57497.5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46293</v>
      </c>
      <c r="B85" s="9" t="n">
        <v>6352</v>
      </c>
      <c r="C85" s="9" t="inlineStr">
        <is>
          <t>АБМК SCP Blade 8PS</t>
        </is>
      </c>
      <c r="D85" s="9" t="inlineStr">
        <is>
          <t>Донська</t>
        </is>
      </c>
      <c r="E85" s="9" t="inlineStr">
        <is>
          <t>Третій платіж</t>
        </is>
      </c>
      <c r="F85" s="10" t="n">
        <v>1119237.26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46293</v>
      </c>
      <c r="B86" s="9" t="n">
        <v>6352</v>
      </c>
      <c r="C86" s="9" t="inlineStr">
        <is>
          <t>АБМК SCP Blade 8PS</t>
        </is>
      </c>
      <c r="D86" s="9" t="inlineStr">
        <is>
          <t>Донська</t>
        </is>
      </c>
      <c r="E86" s="9" t="inlineStr">
        <is>
          <t>Четвертий платіж</t>
        </is>
      </c>
      <c r="F86" s="10" t="n">
        <v>371982.96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/>
    </row>
    <row r="87">
      <c r="A87" s="8" t="n">
        <v>46295</v>
      </c>
      <c r="B87" s="9" t="n">
        <v>7244</v>
      </c>
      <c r="C87" s="9" t="inlineStr">
        <is>
          <t>В Модулекс модульна будівля Чернігів</t>
        </is>
      </c>
      <c r="D87" s="9" t="inlineStr">
        <is>
          <t>Заянчковський</t>
        </is>
      </c>
      <c r="E87" s="9" t="inlineStr">
        <is>
          <t>П'ятий платіж</t>
        </is>
      </c>
      <c r="F87" s="10" t="n">
        <v>132708.6</v>
      </c>
      <c r="G87" s="10" t="n">
        <v>0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/>
    </row>
    <row r="88">
      <c r="A88" s="8" t="n">
        <v>46295</v>
      </c>
      <c r="B88" s="9" t="n">
        <v>7414</v>
      </c>
      <c r="C88" s="9" t="inlineStr">
        <is>
          <t>-26 ГШ Фундамент домобудування Володимир</t>
        </is>
      </c>
      <c r="D88" s="9" t="inlineStr">
        <is>
          <t>Заянчковський</t>
        </is>
      </c>
      <c r="E88" s="9" t="inlineStr">
        <is>
          <t>Третій платіж</t>
        </is>
      </c>
      <c r="F88" s="10" t="n">
        <v>57497.5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46300</v>
      </c>
      <c r="B89" s="9" t="n">
        <v>5910</v>
      </c>
      <c r="C89" s="9" t="inlineStr">
        <is>
          <t>SGM Brdovec, Хорватия</t>
        </is>
      </c>
      <c r="D89" s="9" t="inlineStr">
        <is>
          <t>Донська</t>
        </is>
      </c>
      <c r="E89" s="9" t="inlineStr">
        <is>
          <t>Третій платіж</t>
        </is>
      </c>
      <c r="F89" s="10" t="n">
        <v>2889404.72</v>
      </c>
      <c r="G89" s="10" t="n">
        <v>248245.8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>
        <is>
          <t>€55 694</t>
        </is>
      </c>
    </row>
    <row r="90">
      <c r="A90" s="8" t="n">
        <v>46304</v>
      </c>
      <c r="B90" s="9" t="n">
        <v>6024</v>
      </c>
      <c r="C90" s="9" t="inlineStr">
        <is>
          <t>-26 ГШ с. Липовиця Черніг. обл. Модулекс</t>
        </is>
      </c>
      <c r="D90" s="9" t="inlineStr">
        <is>
          <t>Заянчковський</t>
        </is>
      </c>
      <c r="E90" s="9" t="inlineStr">
        <is>
          <t>Другий платіж</t>
        </is>
      </c>
      <c r="F90" s="10" t="n">
        <v>246402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A91" s="8" t="n">
        <v>46304</v>
      </c>
      <c r="B91" s="9" t="n">
        <v>7894</v>
      </c>
      <c r="C91" s="9" t="inlineStr">
        <is>
          <t>SCP Фора  Хотів</t>
        </is>
      </c>
      <c r="D91" s="9" t="inlineStr">
        <is>
          <t>Донська</t>
        </is>
      </c>
      <c r="E91" s="9" t="inlineStr">
        <is>
          <t>П'ятий платіж</t>
        </is>
      </c>
      <c r="F91" s="10" t="n">
        <v>737597.4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2026-10</t>
        </is>
      </c>
      <c r="K91" s="12" t="inlineStr"/>
    </row>
    <row r="92">
      <c r="A92" s="8" t="n">
        <v>46316</v>
      </c>
      <c r="B92" s="9" t="n">
        <v>6356</v>
      </c>
      <c r="C92" s="9" t="inlineStr">
        <is>
          <t>-26 SOLAR Наземні СЕС 3 Kirill Trokhin</t>
        </is>
      </c>
      <c r="D92" s="9" t="inlineStr">
        <is>
          <t>Хома</t>
        </is>
      </c>
      <c r="E92" s="9" t="inlineStr">
        <is>
          <t>Другий платіж</t>
        </is>
      </c>
      <c r="F92" s="10" t="n">
        <v>64240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/>
    </row>
    <row r="93">
      <c r="A93" s="8" t="n">
        <v>46321</v>
      </c>
      <c r="B93" s="9" t="n">
        <v>6352</v>
      </c>
      <c r="C93" s="9" t="inlineStr">
        <is>
          <t>АБМК SCP Blade 8PS</t>
        </is>
      </c>
      <c r="D93" s="9" t="inlineStr">
        <is>
          <t>Донська</t>
        </is>
      </c>
      <c r="E93" s="9" t="inlineStr">
        <is>
          <t>П'ятий платіж</t>
        </is>
      </c>
      <c r="F93" s="10" t="n">
        <v>651792.28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46322</v>
      </c>
      <c r="B94" s="9" t="n">
        <v>6356</v>
      </c>
      <c r="C94" s="9" t="inlineStr">
        <is>
          <t>-26 SOLAR Наземні СЕС 3 Kirill Trokhin</t>
        </is>
      </c>
      <c r="D94" s="9" t="inlineStr">
        <is>
          <t>Хома</t>
        </is>
      </c>
      <c r="E94" s="9" t="inlineStr">
        <is>
          <t>Третій платіж</t>
        </is>
      </c>
      <c r="F94" s="10" t="n">
        <v>12848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E95" s="3" t="inlineStr">
        <is>
          <t>Разом</t>
        </is>
      </c>
      <c r="F95" s="13">
        <f>SUM(F2:F94)</f>
        <v/>
      </c>
      <c r="G95" s="13">
        <f>SUM(G2:G94)</f>
        <v/>
      </c>
      <c r="H95" s="13">
        <f>SUM(H2:H94)</f>
        <v/>
      </c>
    </row>
  </sheetData>
  <autoFilter ref="A1:I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46266</v>
      </c>
      <c r="B2" s="9" t="n">
        <v>6356</v>
      </c>
      <c r="C2" s="9" t="inlineStr">
        <is>
          <t>-26 SOLAR Наземні СЕС 3 Kirill Trokhin</t>
        </is>
      </c>
      <c r="D2" s="9" t="inlineStr">
        <is>
          <t>Авансовий платіж</t>
        </is>
      </c>
      <c r="E2" s="11" t="n">
        <v>51392</v>
      </c>
      <c r="F2" s="11" t="n">
        <v>0</v>
      </c>
      <c r="G2" s="11">
        <f>E2-F2</f>
        <v/>
      </c>
    </row>
    <row r="3">
      <c r="A3" s="8" t="n">
        <v>46260</v>
      </c>
      <c r="B3" s="9" t="n">
        <v>6406</v>
      </c>
      <c r="C3" s="9" t="inlineStr">
        <is>
          <t>Максим Яловий Чинадієво</t>
        </is>
      </c>
      <c r="D3" s="9" t="inlineStr">
        <is>
          <t>Другий платіж</t>
        </is>
      </c>
      <c r="E3" s="11" t="n">
        <v>218602</v>
      </c>
      <c r="F3" s="11" t="n">
        <v>170788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2026-09-01T06:29:57Z</dcterms:created>
  <dcterms:modified xmlns:dcterms="http://purl.org/dc/terms/" xmlns:xsi="http://www.w3.org/2001/XMLSchema-instance" xsi:type="dcterms:W3CDTF">2026-09-01T06:29:57Z</dcterms:modified>
</cp:coreProperties>
</file>