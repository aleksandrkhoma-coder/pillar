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надходжень'!$A$1:$I$90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26.08.2026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2604500</v>
      </c>
      <c r="G10" s="10" t="n">
        <v>2604500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5209000</v>
      </c>
      <c r="G11" s="10" t="n">
        <v>5209000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1875240</v>
      </c>
      <c r="G39" s="10" t="n">
        <v>1875240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458392.0000000001</v>
      </c>
      <c r="G44" s="10" t="n">
        <v>458392.0000000001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8703718.100000001</v>
      </c>
      <c r="G54" s="10" t="n">
        <v>8703718.100000001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4099483</v>
      </c>
      <c r="G57" s="10" t="n">
        <v>4099483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46240</v>
      </c>
      <c r="B65" s="9" t="n">
        <v>5870</v>
      </c>
      <c r="C65" s="9" t="inlineStr">
        <is>
          <t>Carport Airport Munich</t>
        </is>
      </c>
      <c r="D65" s="9" t="inlineStr">
        <is>
          <t>Хома</t>
        </is>
      </c>
      <c r="E65" s="9" t="inlineStr">
        <is>
          <t>Другий платіж</t>
        </is>
      </c>
      <c r="F65" s="10" t="n">
        <v>4986315.25</v>
      </c>
      <c r="G65" s="10" t="n">
        <v>4986315.25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>
        <is>
          <t>€95 725</t>
        </is>
      </c>
    </row>
    <row r="66">
      <c r="A66" s="8" t="n">
        <v>46241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Третій платіж</t>
        </is>
      </c>
      <c r="F66" s="10" t="n">
        <v>759211.75</v>
      </c>
      <c r="G66" s="10" t="n">
        <v>759211.75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€14 575</t>
        </is>
      </c>
    </row>
    <row r="67">
      <c r="A67" s="8" t="n">
        <v>46255</v>
      </c>
      <c r="B67" s="9" t="n">
        <v>7414</v>
      </c>
      <c r="C67" s="9" t="inlineStr">
        <is>
          <t>-26 ГШ Фундамент домобудування Володимир</t>
        </is>
      </c>
      <c r="D67" s="9" t="inlineStr">
        <is>
          <t>Заянчковський</t>
        </is>
      </c>
      <c r="E67" s="9" t="inlineStr">
        <is>
          <t>Авансовий платіж</t>
        </is>
      </c>
      <c r="F67" s="10" t="n">
        <v>94000</v>
      </c>
      <c r="G67" s="10" t="n">
        <v>94000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/>
    </row>
    <row r="68">
      <c r="A68" s="8" t="n">
        <v>46255</v>
      </c>
      <c r="B68" s="9" t="n">
        <v>7894</v>
      </c>
      <c r="C68" s="9" t="inlineStr">
        <is>
          <t>SCP Фора  Хотів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185968</v>
      </c>
      <c r="G68" s="10" t="n">
        <v>185968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46255</v>
      </c>
      <c r="B69" s="9" t="n">
        <v>7894</v>
      </c>
      <c r="C69" s="9" t="inlineStr">
        <is>
          <t>SCP Фора  Хотів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185967.99</v>
      </c>
      <c r="G69" s="10" t="n">
        <v>185967.99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Четвертий платіж</t>
        </is>
      </c>
      <c r="F70" s="10" t="n">
        <v>737597.4</v>
      </c>
      <c r="G70" s="10" t="n">
        <v>737597.4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8898</v>
      </c>
      <c r="C71" s="9" t="inlineStr">
        <is>
          <t>Григорівка №3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188043.75</v>
      </c>
      <c r="G71" s="10" t="n">
        <v>188043.75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46258</v>
      </c>
      <c r="B72" s="9" t="n">
        <v>3456</v>
      </c>
      <c r="C72" s="9" t="inlineStr">
        <is>
          <t>А Підселання фундаменту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335974.68</v>
      </c>
      <c r="G72" s="10" t="n">
        <v>0</v>
      </c>
      <c r="H72" s="11">
        <f>F72-G72</f>
        <v/>
      </c>
      <c r="I72" s="9" t="inlineStr">
        <is>
          <t>прострочено</t>
        </is>
      </c>
      <c r="J72" t="inlineStr">
        <is>
          <t>2026-08</t>
        </is>
      </c>
      <c r="K72" s="12" t="inlineStr"/>
    </row>
    <row r="73">
      <c r="A73" s="8" t="n">
        <v>46259</v>
      </c>
      <c r="B73" s="9" t="n">
        <v>6406</v>
      </c>
      <c r="C73" s="9" t="inlineStr">
        <is>
          <t>Максим Яловий Чинадієво</t>
        </is>
      </c>
      <c r="D73" s="9" t="inlineStr">
        <is>
          <t>Іщук</t>
        </is>
      </c>
      <c r="E73" s="9" t="inlineStr">
        <is>
          <t>Другий платіж</t>
        </is>
      </c>
      <c r="F73" s="10" t="n">
        <v>218602</v>
      </c>
      <c r="G73" s="10" t="n">
        <v>0</v>
      </c>
      <c r="H73" s="11">
        <f>F73-G73</f>
        <v/>
      </c>
      <c r="I73" s="9" t="inlineStr">
        <is>
          <t>прострочено</t>
        </is>
      </c>
      <c r="J73" t="inlineStr">
        <is>
          <t>2026-08</t>
        </is>
      </c>
      <c r="K73" s="12" t="inlineStr"/>
    </row>
    <row r="74">
      <c r="A74" s="8" t="n">
        <v>46263</v>
      </c>
      <c r="B74" s="9" t="n">
        <v>5910</v>
      </c>
      <c r="C74" s="9" t="inlineStr">
        <is>
          <t>SGM Brdovec, Хорватия</t>
        </is>
      </c>
      <c r="D74" s="9" t="inlineStr">
        <is>
          <t>Донська</t>
        </is>
      </c>
      <c r="E74" s="9" t="inlineStr">
        <is>
          <t>Другий платіж 60%</t>
        </is>
      </c>
      <c r="F74" s="10" t="n">
        <v>17407488.29</v>
      </c>
      <c r="G74" s="10" t="n">
        <v>2991007.8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€334 181</t>
        </is>
      </c>
    </row>
    <row r="75">
      <c r="A75" s="8" t="n">
        <v>46264</v>
      </c>
      <c r="B75" s="9" t="n">
        <v>5870</v>
      </c>
      <c r="C75" s="9" t="inlineStr">
        <is>
          <t>Carport Airport Munich</t>
        </is>
      </c>
      <c r="D75" s="9" t="inlineStr">
        <is>
          <t>Хома</t>
        </is>
      </c>
      <c r="E75" s="9" t="inlineStr">
        <is>
          <t>Четвертий платіж</t>
        </is>
      </c>
      <c r="F75" s="10" t="n">
        <v>911575.0000000001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>
        <is>
          <t>€17 500</t>
        </is>
      </c>
    </row>
    <row r="76">
      <c r="A76" s="8" t="n">
        <v>46265</v>
      </c>
      <c r="B76" s="9" t="n">
        <v>6130</v>
      </c>
      <c r="C76" s="9" t="inlineStr">
        <is>
          <t>-26 ГШ Фундамент домобудування Євро Простір Марія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73335</v>
      </c>
      <c r="G76" s="10" t="n">
        <v>36665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7244</v>
      </c>
      <c r="C77" s="9" t="inlineStr">
        <is>
          <t>В Модулекс модульна будівля Чернігів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132708.6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2026-08</t>
        </is>
      </c>
      <c r="K77" s="12" t="inlineStr"/>
    </row>
    <row r="78">
      <c r="A78" s="8" t="n">
        <v>46265</v>
      </c>
      <c r="B78" s="9" t="n">
        <v>8878</v>
      </c>
      <c r="C78" s="9" t="inlineStr">
        <is>
          <t>А ТОВ КОМПАНІЯ ВОЛЬТ СЕРВІС ГРУП</t>
        </is>
      </c>
      <c r="D78" s="9" t="inlineStr">
        <is>
          <t>Заянчковський</t>
        </is>
      </c>
      <c r="E78" s="9" t="inlineStr">
        <is>
          <t>П'ятий платіж</t>
        </is>
      </c>
      <c r="F78" s="10" t="n">
        <v>12823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2026-08</t>
        </is>
      </c>
      <c r="K78" s="12" t="inlineStr"/>
    </row>
    <row r="79">
      <c r="A79" s="8" t="n">
        <v>46267</v>
      </c>
      <c r="B79" s="9" t="n">
        <v>4766</v>
      </c>
      <c r="C79" s="9" t="inlineStr">
        <is>
          <t>ALTECO Carport Model Taurus 280кВт</t>
        </is>
      </c>
      <c r="D79" s="9" t="inlineStr">
        <is>
          <t>Заянчковський</t>
        </is>
      </c>
      <c r="E79" s="9" t="inlineStr">
        <is>
          <t>П'ятий платіж</t>
        </is>
      </c>
      <c r="F79" s="10" t="n">
        <v>1263447.42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6352</v>
      </c>
      <c r="C80" s="9" t="inlineStr">
        <is>
          <t>АБМК SCP Blade 8PS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1119237.26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46273</v>
      </c>
      <c r="B81" s="9" t="n">
        <v>7002</v>
      </c>
      <c r="C81" s="9" t="inlineStr">
        <is>
          <t>Фора SCP Млиново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573945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46280</v>
      </c>
      <c r="B82" s="9" t="n">
        <v>8898</v>
      </c>
      <c r="C82" s="9" t="inlineStr">
        <is>
          <t>Григорівка №3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188043.75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46288</v>
      </c>
      <c r="B84" s="9" t="n">
        <v>7414</v>
      </c>
      <c r="C84" s="9" t="inlineStr">
        <is>
          <t>-26 ГШ Фундамент домобудування Володимир</t>
        </is>
      </c>
      <c r="D84" s="9" t="inlineStr">
        <is>
          <t>Заянчковський</t>
        </is>
      </c>
      <c r="E84" s="9" t="inlineStr">
        <is>
          <t>Етап 2</t>
        </is>
      </c>
      <c r="F84" s="10" t="n">
        <v>57497.5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46295</v>
      </c>
      <c r="B85" s="9" t="n">
        <v>7414</v>
      </c>
      <c r="C85" s="9" t="inlineStr">
        <is>
          <t>-26 ГШ Фундамент домобудування Володимир</t>
        </is>
      </c>
      <c r="D85" s="9" t="inlineStr">
        <is>
          <t>Заянчковський</t>
        </is>
      </c>
      <c r="E85" s="9" t="inlineStr">
        <is>
          <t>Етап 3</t>
        </is>
      </c>
      <c r="F85" s="10" t="n">
        <v>57497.5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46298</v>
      </c>
      <c r="B86" s="9" t="n">
        <v>7894</v>
      </c>
      <c r="C86" s="9" t="inlineStr">
        <is>
          <t>SCP Фора  Хотів</t>
        </is>
      </c>
      <c r="D86" s="9" t="inlineStr">
        <is>
          <t>Донська</t>
        </is>
      </c>
      <c r="E86" s="9" t="inlineStr">
        <is>
          <t>П'ятий платіж</t>
        </is>
      </c>
      <c r="F86" s="10" t="n">
        <v>737597.4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2026-10</t>
        </is>
      </c>
      <c r="K86" s="12" t="inlineStr"/>
    </row>
    <row r="87">
      <c r="A87" s="8" t="n">
        <v>46300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2901100.46</v>
      </c>
      <c r="G87" s="10" t="n">
        <v>249250.65</v>
      </c>
      <c r="H87" s="11">
        <f>F87-G87</f>
        <v/>
      </c>
      <c r="I87" s="9" t="inlineStr">
        <is>
          <t>очікується</t>
        </is>
      </c>
      <c r="J87" t="inlineStr">
        <is>
          <t>2026-10</t>
        </is>
      </c>
      <c r="K87" s="12" t="inlineStr">
        <is>
          <t>€55 694</t>
        </is>
      </c>
    </row>
    <row r="88">
      <c r="A88" s="8" t="n">
        <v>46305</v>
      </c>
      <c r="B88" s="9" t="n">
        <v>6024</v>
      </c>
      <c r="C88" s="9" t="inlineStr">
        <is>
          <t>-26 ГШ с. Липовиця Черніг. обл. Модулекс</t>
        </is>
      </c>
      <c r="D88" s="9" t="inlineStr">
        <is>
          <t>Заянчковський</t>
        </is>
      </c>
      <c r="E88" s="9" t="inlineStr">
        <is>
          <t>Етап 2</t>
        </is>
      </c>
      <c r="F88" s="10" t="n">
        <v>246402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2026-10</t>
        </is>
      </c>
      <c r="K88" s="12" t="inlineStr"/>
    </row>
    <row r="89">
      <c r="A89" s="8" t="n">
        <v>46308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2026-10</t>
        </is>
      </c>
      <c r="K89" s="12" t="inlineStr"/>
    </row>
    <row r="90">
      <c r="A90" s="8" t="n">
        <v>46321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П'ятий платіж</t>
        </is>
      </c>
      <c r="F90" s="10" t="n">
        <v>651792.28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2026-10</t>
        </is>
      </c>
      <c r="K90" s="12" t="inlineStr"/>
    </row>
    <row r="91">
      <c r="E91" s="3" t="inlineStr">
        <is>
          <t>Разом</t>
        </is>
      </c>
      <c r="F91" s="13">
        <f>SUM(F2:F90)</f>
        <v/>
      </c>
      <c r="G91" s="13">
        <f>SUM(G2:G90)</f>
        <v/>
      </c>
      <c r="H91" s="13">
        <f>SUM(H2:H90)</f>
        <v/>
      </c>
    </row>
  </sheetData>
  <autoFilter ref="A1:I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46258</v>
      </c>
      <c r="B2" s="9" t="n">
        <v>3456</v>
      </c>
      <c r="C2" s="9" t="inlineStr">
        <is>
          <t>А Підселання фундаменту</t>
        </is>
      </c>
      <c r="D2" s="9" t="inlineStr">
        <is>
          <t>Третій платіж</t>
        </is>
      </c>
      <c r="E2" s="11" t="n">
        <v>335974.68</v>
      </c>
      <c r="F2" s="11" t="n">
        <v>0</v>
      </c>
      <c r="G2" s="11">
        <f>E2-F2</f>
        <v/>
      </c>
    </row>
    <row r="3">
      <c r="A3" s="8" t="n">
        <v>46259</v>
      </c>
      <c r="B3" s="9" t="n">
        <v>6406</v>
      </c>
      <c r="C3" s="9" t="inlineStr">
        <is>
          <t>Максим Яловий Чинадієво</t>
        </is>
      </c>
      <c r="D3" s="9" t="inlineStr">
        <is>
          <t>Другий платіж</t>
        </is>
      </c>
      <c r="E3" s="11" t="n">
        <v>218602</v>
      </c>
      <c r="F3" s="11" t="n">
        <v>0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2026-08-26T04:15:40Z</dcterms:created>
  <dcterms:modified xmlns:dcterms="http://purl.org/dc/terms/" xmlns:xsi="http://www.w3.org/2001/XMLSchema-instance" xsi:type="dcterms:W3CDTF">2026-08-26T04:15:40Z</dcterms:modified>
</cp:coreProperties>
</file>