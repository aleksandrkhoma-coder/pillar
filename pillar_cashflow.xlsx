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надходжень'!$A$1:$I$103</definedName>
    <definedName name="_xlnm._FilterDatabase" localSheetId="3" hidden="1">'Прострочені'!$A$1:$G$5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25.09.2026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2556000</v>
      </c>
      <c r="G10" s="10" t="n">
        <v>2556000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5112000</v>
      </c>
      <c r="G11" s="10" t="n">
        <v>5112000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1840320</v>
      </c>
      <c r="G39" s="10" t="n">
        <v>1840320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449856</v>
      </c>
      <c r="G44" s="10" t="n">
        <v>449856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8541640.799999999</v>
      </c>
      <c r="G54" s="10" t="n">
        <v>8541640.799999999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4023144</v>
      </c>
      <c r="G57" s="10" t="n">
        <v>4023144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4893462</v>
      </c>
      <c r="G66" s="10" t="n">
        <v>4893462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745074</v>
      </c>
      <c r="G67" s="10" t="n">
        <v>745074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552862.7999999999</v>
      </c>
      <c r="G69" s="10" t="n">
        <v>552862.7999999999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894600</v>
      </c>
      <c r="G70" s="10" t="n">
        <v>894600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2783790.72</v>
      </c>
      <c r="G78" s="10" t="n">
        <v>2783790.72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1545102</v>
      </c>
      <c r="G80" s="10" t="n">
        <v>1545102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5910</v>
      </c>
      <c r="C85" s="9" t="inlineStr">
        <is>
          <t>SGM Brdovec, Хорватия</t>
        </is>
      </c>
      <c r="D85" s="9" t="inlineStr">
        <is>
          <t>Донська</t>
        </is>
      </c>
      <c r="E85" s="9" t="inlineStr">
        <is>
          <t>Другий платіж 60%</t>
        </is>
      </c>
      <c r="F85" s="10" t="n">
        <v>17083332.72</v>
      </c>
      <c r="G85" s="10" t="n">
        <v>10859472.72</v>
      </c>
      <c r="H85" s="11">
        <f>F85-G85</f>
        <v/>
      </c>
      <c r="I85" s="9" t="inlineStr">
        <is>
          <t>прострочено</t>
        </is>
      </c>
      <c r="J85" t="inlineStr">
        <is>
          <t>2026-09</t>
        </is>
      </c>
      <c r="K85" s="12" t="inlineStr">
        <is>
          <t>€334 181</t>
        </is>
      </c>
    </row>
    <row r="86">
      <c r="A86" s="8" t="n">
        <v>46288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Третій платіж</t>
        </is>
      </c>
      <c r="F86" s="10" t="n">
        <v>2847077.28</v>
      </c>
      <c r="G86" s="10" t="n">
        <v>1357798.32</v>
      </c>
      <c r="H86" s="11">
        <f>F86-G86</f>
        <v/>
      </c>
      <c r="I86" s="9" t="inlineStr">
        <is>
          <t>прострочено</t>
        </is>
      </c>
      <c r="J86" t="inlineStr">
        <is>
          <t>2026-09</t>
        </is>
      </c>
      <c r="K86" s="12" t="inlineStr">
        <is>
          <t>€55 694</t>
        </is>
      </c>
    </row>
    <row r="87">
      <c r="A87" s="8" t="n">
        <v>46288</v>
      </c>
      <c r="B87" s="9" t="n">
        <v>7002</v>
      </c>
      <c r="C87" s="9" t="inlineStr">
        <is>
          <t>Фора SCP Млиново</t>
        </is>
      </c>
      <c r="D87" s="9" t="inlineStr">
        <is>
          <t>Донська</t>
        </is>
      </c>
      <c r="E87" s="9" t="inlineStr">
        <is>
          <t>П'ятий платіж</t>
        </is>
      </c>
      <c r="F87" s="10" t="n">
        <v>492945</v>
      </c>
      <c r="G87" s="10" t="n">
        <v>492945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/>
    </row>
    <row r="88">
      <c r="A88" s="8" t="n">
        <v>46288</v>
      </c>
      <c r="B88" s="9" t="n">
        <v>7002</v>
      </c>
      <c r="C88" s="9" t="inlineStr">
        <is>
          <t>Фора SCP Млиново</t>
        </is>
      </c>
      <c r="D88" s="9" t="inlineStr">
        <is>
          <t>Донська</t>
        </is>
      </c>
      <c r="E88" s="9" t="inlineStr">
        <is>
          <t>Шостий платіж (Допка)</t>
        </is>
      </c>
      <c r="F88" s="10" t="n">
        <v>338000</v>
      </c>
      <c r="G88" s="10" t="n">
        <v>338000</v>
      </c>
      <c r="H88" s="11">
        <f>F88-G88</f>
        <v/>
      </c>
      <c r="I88" s="9" t="inlineStr">
        <is>
          <t>отримано</t>
        </is>
      </c>
      <c r="J88" t="inlineStr">
        <is>
          <t>2026-09</t>
        </is>
      </c>
      <c r="K88" s="12" t="inlineStr"/>
    </row>
    <row r="89">
      <c r="A89" s="8" t="n">
        <v>46290</v>
      </c>
      <c r="B89" s="9" t="n">
        <v>8238</v>
      </c>
      <c r="C89" s="9" t="inlineStr">
        <is>
          <t>А UTEM SOLAR  SCP Taurus 190PV</t>
        </is>
      </c>
      <c r="D89" s="9" t="inlineStr">
        <is>
          <t>Іщук</t>
        </is>
      </c>
      <c r="E89" s="9" t="inlineStr">
        <is>
          <t>Третій платіж</t>
        </is>
      </c>
      <c r="F89" s="10" t="n">
        <v>550000</v>
      </c>
      <c r="G89" s="10" t="n">
        <v>0</v>
      </c>
      <c r="H89" s="11">
        <f>F89-G89</f>
        <v/>
      </c>
      <c r="I89" s="9" t="inlineStr">
        <is>
          <t>прострочено</t>
        </is>
      </c>
      <c r="J89" t="inlineStr">
        <is>
          <t>2026-09</t>
        </is>
      </c>
      <c r="K89" s="12" t="inlineStr"/>
    </row>
    <row r="90">
      <c r="A90" s="8" t="n">
        <v>46293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Третій платіж</t>
        </is>
      </c>
      <c r="F90" s="10" t="n">
        <v>1119237.26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46293</v>
      </c>
      <c r="B91" s="9" t="n">
        <v>6352</v>
      </c>
      <c r="C91" s="9" t="inlineStr">
        <is>
          <t>АБМК SCP Blade 8PS</t>
        </is>
      </c>
      <c r="D91" s="9" t="inlineStr">
        <is>
          <t>Донська</t>
        </is>
      </c>
      <c r="E91" s="9" t="inlineStr">
        <is>
          <t>Четвертий платіж</t>
        </is>
      </c>
      <c r="F91" s="10" t="n">
        <v>371982.96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46295</v>
      </c>
      <c r="B92" s="9" t="n">
        <v>7244</v>
      </c>
      <c r="C92" s="9" t="inlineStr">
        <is>
          <t>В Модулекс модульна будівля Чернігів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132708.6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46295</v>
      </c>
      <c r="B93" s="9" t="n">
        <v>7414</v>
      </c>
      <c r="C93" s="9" t="inlineStr">
        <is>
          <t>-26 ГШ Фундамент домобудування Володимир</t>
        </is>
      </c>
      <c r="D93" s="9" t="inlineStr">
        <is>
          <t>Заянчковський</t>
        </is>
      </c>
      <c r="E93" s="9" t="inlineStr">
        <is>
          <t>Третій платіж</t>
        </is>
      </c>
      <c r="F93" s="10" t="n">
        <v>44148.4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2026-09</t>
        </is>
      </c>
      <c r="K93" s="12" t="inlineStr"/>
    </row>
    <row r="94">
      <c r="A94" s="8" t="n">
        <v>46295</v>
      </c>
      <c r="B94" s="9" t="n">
        <v>7414</v>
      </c>
      <c r="C94" s="9" t="inlineStr">
        <is>
          <t>-26 ГШ Фундамент домобудування Володимир</t>
        </is>
      </c>
      <c r="D94" s="9" t="inlineStr">
        <is>
          <t>Заянчковський</t>
        </is>
      </c>
      <c r="E94" s="9" t="inlineStr">
        <is>
          <t>Четвертий платіж</t>
        </is>
      </c>
      <c r="F94" s="10" t="n">
        <v>57497.5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2026-09</t>
        </is>
      </c>
      <c r="K94" s="12" t="inlineStr"/>
    </row>
    <row r="95">
      <c r="A95" s="8" t="n">
        <v>46297</v>
      </c>
      <c r="B95" s="9" t="n">
        <v>4766</v>
      </c>
      <c r="C95" s="9" t="inlineStr">
        <is>
          <t>ALTECO Carport Model Taurus 280кВт</t>
        </is>
      </c>
      <c r="D95" s="9" t="inlineStr">
        <is>
          <t>Заянчковський</t>
        </is>
      </c>
      <c r="E95" s="9" t="inlineStr">
        <is>
          <t>П'ятий платіж</t>
        </is>
      </c>
      <c r="F95" s="10" t="n">
        <v>1263447.42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46300</v>
      </c>
      <c r="B96" s="9" t="n">
        <v>6024</v>
      </c>
      <c r="C96" s="9" t="inlineStr">
        <is>
          <t>-26 ГШ с. Липовиця Черніг. обл. Модулекс</t>
        </is>
      </c>
      <c r="D96" s="9" t="inlineStr">
        <is>
          <t>Заянчковський</t>
        </is>
      </c>
      <c r="E96" s="9" t="inlineStr">
        <is>
          <t>Другий платіж</t>
        </is>
      </c>
      <c r="F96" s="10" t="n">
        <v>246402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46300</v>
      </c>
      <c r="B97" s="9" t="n">
        <v>6024</v>
      </c>
      <c r="C97" s="9" t="inlineStr">
        <is>
          <t>-26 ГШ с. Липовиця Черніг. обл. Модулекс</t>
        </is>
      </c>
      <c r="D97" s="9" t="inlineStr">
        <is>
          <t>Заянчковський</t>
        </is>
      </c>
      <c r="E97" s="9" t="inlineStr">
        <is>
          <t>Третій платіж</t>
        </is>
      </c>
      <c r="F97" s="10" t="n">
        <v>3999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46311</v>
      </c>
      <c r="B98" s="9" t="n">
        <v>8497</v>
      </c>
      <c r="C98" s="9" t="inlineStr">
        <is>
          <t>LSG 110MWt   50 points</t>
        </is>
      </c>
      <c r="D98" s="9" t="inlineStr">
        <is>
          <t>Іщук</t>
        </is>
      </c>
      <c r="E98" s="9" t="inlineStr">
        <is>
          <t>Другий платіж</t>
        </is>
      </c>
      <c r="F98" s="10" t="n">
        <v>515034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€10 075</t>
        </is>
      </c>
    </row>
    <row r="99">
      <c r="A99" s="8" t="n">
        <v>46316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Другий платіж</t>
        </is>
      </c>
      <c r="F99" s="10" t="n">
        <v>3283948.8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€64 240</t>
        </is>
      </c>
    </row>
    <row r="100">
      <c r="A100" s="8" t="n">
        <v>46321</v>
      </c>
      <c r="B100" s="9" t="n">
        <v>6352</v>
      </c>
      <c r="C100" s="9" t="inlineStr">
        <is>
          <t>АБМК SCP Blade 8PS</t>
        </is>
      </c>
      <c r="D100" s="9" t="inlineStr">
        <is>
          <t>Донська</t>
        </is>
      </c>
      <c r="E100" s="9" t="inlineStr">
        <is>
          <t>П'ятий платіж</t>
        </is>
      </c>
      <c r="F100" s="10" t="n">
        <v>651792.28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/>
    </row>
    <row r="101">
      <c r="A101" s="8" t="n">
        <v>46322</v>
      </c>
      <c r="B101" s="9" t="n">
        <v>6356</v>
      </c>
      <c r="C101" s="9" t="inlineStr">
        <is>
          <t>-26 SOLAR Наземні СЕС 3 Kirill Trokhin</t>
        </is>
      </c>
      <c r="D101" s="9" t="inlineStr">
        <is>
          <t>Хома</t>
        </is>
      </c>
      <c r="E101" s="9" t="inlineStr">
        <is>
          <t>Третій платіж</t>
        </is>
      </c>
      <c r="F101" s="10" t="n">
        <v>656789.76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>
        <is>
          <t>€12 848</t>
        </is>
      </c>
    </row>
    <row r="102">
      <c r="A102" s="8" t="n">
        <v>46322</v>
      </c>
      <c r="B102" s="9" t="n">
        <v>7894</v>
      </c>
      <c r="C102" s="9" t="inlineStr">
        <is>
          <t>SCP Фора  Хотів</t>
        </is>
      </c>
      <c r="D102" s="9" t="inlineStr">
        <is>
          <t>Донська</t>
        </is>
      </c>
      <c r="E102" s="9" t="inlineStr">
        <is>
          <t>П'ятий платіж</t>
        </is>
      </c>
      <c r="F102" s="10" t="n">
        <v>737597.4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/>
    </row>
    <row r="103">
      <c r="A103" s="8" t="n">
        <v>46330</v>
      </c>
      <c r="B103" s="9" t="n">
        <v>7508</v>
      </c>
      <c r="C103" s="9" t="inlineStr">
        <is>
          <t>8602 Євген Весільна тераса Подорожнє</t>
        </is>
      </c>
      <c r="D103" s="9" t="inlineStr">
        <is>
          <t>Заянчковський</t>
        </is>
      </c>
      <c r="E103" s="9" t="inlineStr">
        <is>
          <t>Третій платіж</t>
        </is>
      </c>
      <c r="F103" s="10" t="n">
        <v>750999.9399999999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2026-11</t>
        </is>
      </c>
      <c r="K103" s="12" t="inlineStr"/>
    </row>
    <row r="104">
      <c r="E104" s="3" t="inlineStr">
        <is>
          <t>Разом</t>
        </is>
      </c>
      <c r="F104" s="13">
        <f>SUM(F2:F103)</f>
        <v/>
      </c>
      <c r="G104" s="13">
        <f>SUM(G2:G103)</f>
        <v/>
      </c>
      <c r="H104" s="13">
        <f>SUM(H2:H103)</f>
        <v/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46288</v>
      </c>
      <c r="B2" s="9" t="n">
        <v>5910</v>
      </c>
      <c r="C2" s="9" t="inlineStr">
        <is>
          <t>SGM Brdovec, Хорватия</t>
        </is>
      </c>
      <c r="D2" s="9" t="inlineStr">
        <is>
          <t>Другий платіж 60%</t>
        </is>
      </c>
      <c r="E2" s="11" t="n">
        <v>17083332.72</v>
      </c>
      <c r="F2" s="11" t="n">
        <v>10859472.72</v>
      </c>
      <c r="G2" s="11">
        <f>E2-F2</f>
        <v/>
      </c>
    </row>
    <row r="3">
      <c r="A3" s="8" t="n">
        <v>46288</v>
      </c>
      <c r="B3" s="9" t="n">
        <v>5910</v>
      </c>
      <c r="C3" s="9" t="inlineStr">
        <is>
          <t>SGM Brdovec, Хорватия</t>
        </is>
      </c>
      <c r="D3" s="9" t="inlineStr">
        <is>
          <t>Третій платіж</t>
        </is>
      </c>
      <c r="E3" s="11" t="n">
        <v>2847077.28</v>
      </c>
      <c r="F3" s="11" t="n">
        <v>1357798.32</v>
      </c>
      <c r="G3" s="11">
        <f>E3-F3</f>
        <v/>
      </c>
    </row>
    <row r="4">
      <c r="A4" s="8" t="n">
        <v>46290</v>
      </c>
      <c r="B4" s="9" t="n">
        <v>8238</v>
      </c>
      <c r="C4" s="9" t="inlineStr">
        <is>
          <t>А UTEM SOLAR  SCP Taurus 190PV</t>
        </is>
      </c>
      <c r="D4" s="9" t="inlineStr">
        <is>
          <t>Третій платіж</t>
        </is>
      </c>
      <c r="E4" s="11" t="n">
        <v>550000</v>
      </c>
      <c r="F4" s="11" t="n">
        <v>0</v>
      </c>
      <c r="G4" s="11">
        <f>E4-F4</f>
        <v/>
      </c>
    </row>
    <row r="5">
      <c r="A5" s="8" t="n">
        <v>46260</v>
      </c>
      <c r="B5" s="9" t="n">
        <v>6406</v>
      </c>
      <c r="C5" s="9" t="inlineStr">
        <is>
          <t>Максим Яловий Чинадієво</t>
        </is>
      </c>
      <c r="D5" s="9" t="inlineStr">
        <is>
          <t>Другий платіж</t>
        </is>
      </c>
      <c r="E5" s="11" t="n">
        <v>218602</v>
      </c>
      <c r="F5" s="11" t="n">
        <v>170788</v>
      </c>
      <c r="G5" s="11">
        <f>E5-F5</f>
        <v/>
      </c>
    </row>
    <row r="6">
      <c r="D6" s="3" t="inlineStr">
        <is>
          <t>Разом</t>
        </is>
      </c>
      <c r="E6" s="13">
        <f>SUM(E2:E5)</f>
        <v/>
      </c>
      <c r="F6" s="13">
        <f>SUM(F2:F5)</f>
        <v/>
      </c>
      <c r="G6" s="13">
        <f>SUM(G2:G5)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2026-09-25T04:23:56Z</dcterms:created>
  <dcterms:modified xmlns:dcterms="http://purl.org/dc/terms/" xmlns:xsi="http://www.w3.org/2001/XMLSchema-instance" xsi:type="dcterms:W3CDTF">2026-09-25T04:23:56Z</dcterms:modified>
</cp:coreProperties>
</file>