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надходжень'!$A$1:$I$83</definedName>
    <definedName name="_xlnm._FilterDatabase" localSheetId="3" hidden="1">'Прострочені'!$A$1:$G$2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13.08.2026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46128</v>
      </c>
      <c r="B2" s="9" t="n">
        <v>8070</v>
      </c>
      <c r="C2" s="9" t="inlineStr">
        <is>
          <t>А Карпорты B2C  SCP</t>
        </is>
      </c>
      <c r="D2" s="9" t="inlineStr">
        <is>
          <t>Іщук</t>
        </is>
      </c>
      <c r="E2" s="9" t="inlineStr">
        <is>
          <t>Авансовий платіж</t>
        </is>
      </c>
      <c r="F2" s="10" t="n">
        <v>126641</v>
      </c>
      <c r="G2" s="10" t="n">
        <v>126641</v>
      </c>
      <c r="H2" s="11">
        <f>F2-G2</f>
        <v/>
      </c>
      <c r="I2" s="9" t="inlineStr">
        <is>
          <t>отримано</t>
        </is>
      </c>
      <c r="J2" t="inlineStr">
        <is>
          <t>2026-04</t>
        </is>
      </c>
      <c r="K2" s="12" t="inlineStr"/>
    </row>
    <row r="3">
      <c r="A3" s="8" t="n">
        <v>46133</v>
      </c>
      <c r="B3" s="9" t="n">
        <v>7244</v>
      </c>
      <c r="C3" s="9" t="inlineStr">
        <is>
          <t>В Модулекс модульна будівля Чернігів</t>
        </is>
      </c>
      <c r="D3" s="9" t="inlineStr">
        <is>
          <t>Заянчковський</t>
        </is>
      </c>
      <c r="E3" s="9" t="inlineStr">
        <is>
          <t>Авансовий платіж</t>
        </is>
      </c>
      <c r="F3" s="10" t="n">
        <v>77600</v>
      </c>
      <c r="G3" s="10" t="n">
        <v>77600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46139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46147</v>
      </c>
      <c r="B5" s="9" t="n">
        <v>3456</v>
      </c>
      <c r="C5" s="9" t="inlineStr">
        <is>
          <t>А Підселання фундаменту</t>
        </is>
      </c>
      <c r="D5" s="9" t="inlineStr">
        <is>
          <t>Донська</t>
        </is>
      </c>
      <c r="E5" s="9" t="inlineStr">
        <is>
          <t>Авансовий платіж</t>
        </is>
      </c>
      <c r="F5" s="10" t="n">
        <v>421968</v>
      </c>
      <c r="G5" s="10" t="n">
        <v>421968</v>
      </c>
      <c r="H5" s="11">
        <f>F5-G5</f>
        <v/>
      </c>
      <c r="I5" s="9" t="inlineStr">
        <is>
          <t>отримано</t>
        </is>
      </c>
      <c r="J5" t="inlineStr">
        <is>
          <t>2026-05</t>
        </is>
      </c>
      <c r="K5" s="12" t="inlineStr"/>
    </row>
    <row r="6">
      <c r="A6" s="8" t="n">
        <v>46149</v>
      </c>
      <c r="B6" s="9" t="n">
        <v>7536</v>
      </c>
      <c r="C6" s="9" t="inlineStr">
        <is>
          <t>А Ранчо “Едельвейс”  AGM  171PV</t>
        </is>
      </c>
      <c r="D6" s="9" t="inlineStr">
        <is>
          <t>Іщук</t>
        </is>
      </c>
      <c r="E6" s="9" t="inlineStr">
        <is>
          <t>Другий платіж</t>
        </is>
      </c>
      <c r="F6" s="10" t="n">
        <v>200000</v>
      </c>
      <c r="G6" s="10" t="n">
        <v>200000</v>
      </c>
      <c r="H6" s="11">
        <f>F6-G6</f>
        <v/>
      </c>
      <c r="I6" s="9" t="inlineStr">
        <is>
          <t>отримано</t>
        </is>
      </c>
      <c r="J6" t="inlineStr">
        <is>
          <t>2026-05</t>
        </is>
      </c>
      <c r="K6" s="12" t="inlineStr"/>
    </row>
    <row r="7">
      <c r="A7" s="8" t="n">
        <v>46154</v>
      </c>
      <c r="B7" s="9" t="n">
        <v>8360</v>
      </c>
      <c r="C7" s="9" t="inlineStr">
        <is>
          <t>Хаджет Лебедівка</t>
        </is>
      </c>
      <c r="D7" s="9" t="inlineStr">
        <is>
          <t>Донська</t>
        </is>
      </c>
      <c r="E7" s="9" t="inlineStr">
        <is>
          <t>Авансовий платіж</t>
        </is>
      </c>
      <c r="F7" s="10" t="n">
        <v>231000</v>
      </c>
      <c r="G7" s="10" t="n">
        <v>231000</v>
      </c>
      <c r="H7" s="11">
        <f>F7-G7</f>
        <v/>
      </c>
      <c r="I7" s="9" t="inlineStr">
        <is>
          <t>отримано</t>
        </is>
      </c>
      <c r="J7" t="inlineStr">
        <is>
          <t>2026-05</t>
        </is>
      </c>
      <c r="K7" s="12" t="inlineStr"/>
    </row>
    <row r="8">
      <c r="A8" s="8" t="n">
        <v>46157</v>
      </c>
      <c r="B8" s="9" t="n">
        <v>7536</v>
      </c>
      <c r="C8" s="9" t="inlineStr">
        <is>
          <t>А Ранчо “Едельвейс”  AGM  171PV</t>
        </is>
      </c>
      <c r="D8" s="9" t="inlineStr">
        <is>
          <t>Іщук</t>
        </is>
      </c>
      <c r="E8" s="9" t="inlineStr">
        <is>
          <t>Третій платіж</t>
        </is>
      </c>
      <c r="F8" s="10" t="n">
        <v>200000</v>
      </c>
      <c r="G8" s="10" t="n">
        <v>200000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46160</v>
      </c>
      <c r="B9" s="9" t="n">
        <v>8008</v>
      </c>
      <c r="C9" s="9" t="inlineStr">
        <is>
          <t>Модулі Григорівка</t>
        </is>
      </c>
      <c r="D9" s="9" t="inlineStr">
        <is>
          <t>Донська</t>
        </is>
      </c>
      <c r="E9" s="9" t="inlineStr">
        <is>
          <t>Авансовий платіж</t>
        </is>
      </c>
      <c r="F9" s="10" t="n">
        <v>430850.64</v>
      </c>
      <c r="G9" s="10" t="n">
        <v>430850.64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46161</v>
      </c>
      <c r="B10" s="9" t="n">
        <v>5870</v>
      </c>
      <c r="C10" s="9" t="inlineStr">
        <is>
          <t>Carport Airport Munich</t>
        </is>
      </c>
      <c r="D10" s="9" t="inlineStr">
        <is>
          <t>Хома</t>
        </is>
      </c>
      <c r="E10" s="9" t="inlineStr">
        <is>
          <t>Авансовий платіж</t>
        </is>
      </c>
      <c r="F10" s="10" t="n">
        <v>2580500</v>
      </c>
      <c r="G10" s="10" t="n">
        <v>2580500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>
        <is>
          <t>€50 000</t>
        </is>
      </c>
    </row>
    <row r="11">
      <c r="A11" s="8" t="n">
        <v>46161</v>
      </c>
      <c r="B11" s="9" t="n">
        <v>6704</v>
      </c>
      <c r="C11" s="9" t="inlineStr">
        <is>
          <t>SCP Taurus 236PS</t>
        </is>
      </c>
      <c r="D11" s="9" t="inlineStr">
        <is>
          <t>Хома</t>
        </is>
      </c>
      <c r="E11" s="9" t="inlineStr">
        <is>
          <t>Авансовий платіж</t>
        </is>
      </c>
      <c r="F11" s="10" t="n">
        <v>5161000</v>
      </c>
      <c r="G11" s="10" t="n">
        <v>5161000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>
        <is>
          <t>€100 000</t>
        </is>
      </c>
    </row>
    <row r="12">
      <c r="A12" s="8" t="n">
        <v>46161</v>
      </c>
      <c r="B12" s="9" t="n">
        <v>7068</v>
      </c>
      <c r="C12" s="9" t="inlineStr">
        <is>
          <t>А Remtec energy  AGM  160 TP</t>
        </is>
      </c>
      <c r="D12" s="9" t="inlineStr">
        <is>
          <t>Александров</t>
        </is>
      </c>
      <c r="E12" s="9" t="inlineStr">
        <is>
          <t>Авансовий платіж</t>
        </is>
      </c>
      <c r="F12" s="10" t="n">
        <v>2416856</v>
      </c>
      <c r="G12" s="10" t="n">
        <v>2416856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/>
    </row>
    <row r="13">
      <c r="A13" s="8" t="n">
        <v>46161</v>
      </c>
      <c r="B13" s="9" t="n">
        <v>8438</v>
      </c>
      <c r="C13" s="9" t="inlineStr">
        <is>
          <t>GS</t>
        </is>
      </c>
      <c r="D13" s="9" t="inlineStr">
        <is>
          <t>Александров</t>
        </is>
      </c>
      <c r="E13" s="9" t="inlineStr">
        <is>
          <t>Авансовий платіж</t>
        </is>
      </c>
      <c r="F13" s="10" t="n">
        <v>758160</v>
      </c>
      <c r="G13" s="10" t="n">
        <v>758160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/>
    </row>
    <row r="14">
      <c r="A14" s="8" t="n">
        <v>46162</v>
      </c>
      <c r="B14" s="9" t="n">
        <v>7536</v>
      </c>
      <c r="C14" s="9" t="inlineStr">
        <is>
          <t>А Ранчо “Едельвейс”  AGM  171PV</t>
        </is>
      </c>
      <c r="D14" s="9" t="inlineStr">
        <is>
          <t>Іщук</t>
        </is>
      </c>
      <c r="E14" s="9" t="inlineStr">
        <is>
          <t>Четвертий платіж</t>
        </is>
      </c>
      <c r="F14" s="10" t="n">
        <v>200000</v>
      </c>
      <c r="G14" s="10" t="n">
        <v>200000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46164</v>
      </c>
      <c r="B15" s="9" t="n">
        <v>8238</v>
      </c>
      <c r="C15" s="9" t="inlineStr">
        <is>
          <t>А UTEM SOLAR  SCP Taurus 190PV</t>
        </is>
      </c>
      <c r="D15" s="9" t="inlineStr">
        <is>
          <t>Іщук</t>
        </is>
      </c>
      <c r="E15" s="9" t="inlineStr">
        <is>
          <t>Авансовий платіж</t>
        </is>
      </c>
      <c r="F15" s="10" t="n">
        <v>2011000</v>
      </c>
      <c r="G15" s="10" t="n">
        <v>2011000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/>
    </row>
    <row r="16">
      <c r="A16" s="8" t="n">
        <v>46166</v>
      </c>
      <c r="B16" s="9" t="n">
        <v>7536</v>
      </c>
      <c r="C16" s="9" t="inlineStr">
        <is>
          <t>А Ранчо “Едельвейс”  AGM  171PV</t>
        </is>
      </c>
      <c r="D16" s="9" t="inlineStr">
        <is>
          <t>Іщук</t>
        </is>
      </c>
      <c r="E16" s="9" t="inlineStr">
        <is>
          <t>П'ятий платіж</t>
        </is>
      </c>
      <c r="F16" s="10" t="n">
        <v>67972.8</v>
      </c>
      <c r="G16" s="10" t="n">
        <v>67972.8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46167</v>
      </c>
      <c r="B17" s="9" t="n">
        <v>7508</v>
      </c>
      <c r="C17" s="9" t="inlineStr">
        <is>
          <t>8602 Євген Весільна тераса Подорожнє</t>
        </is>
      </c>
      <c r="D17" s="9" t="inlineStr">
        <is>
          <t>Заянчковський</t>
        </is>
      </c>
      <c r="E17" s="9" t="inlineStr">
        <is>
          <t>Авансовий платіж</t>
        </is>
      </c>
      <c r="F17" s="10" t="n">
        <v>1245999.94</v>
      </c>
      <c r="G17" s="10" t="n">
        <v>1245999.94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46168</v>
      </c>
      <c r="B18" s="9" t="n">
        <v>7508</v>
      </c>
      <c r="C18" s="9" t="inlineStr">
        <is>
          <t>8602 Євген Весільна тераса Подорожнє</t>
        </is>
      </c>
      <c r="D18" s="9" t="inlineStr">
        <is>
          <t>Заянчковський</t>
        </is>
      </c>
      <c r="E18" s="9" t="inlineStr">
        <is>
          <t>Другий платіж</t>
        </is>
      </c>
      <c r="F18" s="10" t="n">
        <v>751000.0600000001</v>
      </c>
      <c r="G18" s="10" t="n">
        <v>751000.0600000001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46168</v>
      </c>
      <c r="B19" s="9" t="n">
        <v>8140</v>
      </c>
      <c r="C19" s="9" t="inlineStr">
        <is>
          <t>В Газинвестпроект фундамент Киев</t>
        </is>
      </c>
      <c r="D19" s="9" t="inlineStr">
        <is>
          <t>Заянчковський</t>
        </is>
      </c>
      <c r="E19" s="9" t="inlineStr">
        <is>
          <t>Авансовий платіж</t>
        </is>
      </c>
      <c r="F19" s="10" t="n">
        <v>150000</v>
      </c>
      <c r="G19" s="10" t="n">
        <v>150000</v>
      </c>
      <c r="H19" s="11">
        <f>F19-G19</f>
        <v/>
      </c>
      <c r="I19" s="9" t="inlineStr">
        <is>
          <t>отримано</t>
        </is>
      </c>
      <c r="J19" t="inlineStr">
        <is>
          <t>2026-05</t>
        </is>
      </c>
      <c r="K19" s="12" t="inlineStr"/>
    </row>
    <row r="20">
      <c r="A20" s="8" t="n">
        <v>46169</v>
      </c>
      <c r="B20" s="9" t="n">
        <v>6842</v>
      </c>
      <c r="C20" s="9" t="inlineStr">
        <is>
          <t>2</t>
        </is>
      </c>
      <c r="D20" s="9" t="inlineStr">
        <is>
          <t>Александров</t>
        </is>
      </c>
      <c r="E20" s="9" t="inlineStr">
        <is>
          <t>Авансовий платіж</t>
        </is>
      </c>
      <c r="F20" s="10" t="n">
        <v>3308968</v>
      </c>
      <c r="G20" s="10" t="n">
        <v>3308968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46169</v>
      </c>
      <c r="B21" s="9" t="n">
        <v>7960</v>
      </c>
      <c r="C21" s="9" t="inlineStr">
        <is>
          <t>Сірокко Sirocco вітрова ел ст Львів</t>
        </is>
      </c>
      <c r="D21" s="9" t="inlineStr">
        <is>
          <t>Іщук</t>
        </is>
      </c>
      <c r="E21" s="9" t="inlineStr">
        <is>
          <t>Авансовий платіж</t>
        </is>
      </c>
      <c r="F21" s="10" t="n">
        <v>99610.8</v>
      </c>
      <c r="G21" s="10" t="n">
        <v>99610.8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8454</v>
      </c>
      <c r="C22" s="9" t="inlineStr">
        <is>
          <t>Олександр каркасний Верховина</t>
        </is>
      </c>
      <c r="D22" s="9" t="inlineStr">
        <is>
          <t>Донська</t>
        </is>
      </c>
      <c r="E22" s="9" t="inlineStr">
        <is>
          <t>Авансовий платіж</t>
        </is>
      </c>
      <c r="F22" s="10" t="n">
        <v>103606.2</v>
      </c>
      <c r="G22" s="10" t="n">
        <v>103606.2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46170</v>
      </c>
      <c r="B23" s="9" t="n">
        <v>8188</v>
      </c>
      <c r="C23" s="9" t="inlineStr">
        <is>
          <t>Фундамент Ужгород Стефанія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206200</v>
      </c>
      <c r="G23" s="10" t="n">
        <v>206200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46170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Другий платіж</t>
        </is>
      </c>
      <c r="F24" s="10" t="n">
        <v>69666</v>
      </c>
      <c r="G24" s="10" t="n">
        <v>69666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8544</v>
      </c>
      <c r="C25" s="9" t="inlineStr">
        <is>
          <t>Isolar фланець Хмельницький</t>
        </is>
      </c>
      <c r="D25" s="9" t="inlineStr">
        <is>
          <t>Донська</t>
        </is>
      </c>
      <c r="E25" s="9" t="inlineStr">
        <is>
          <t>Авансовий платіж</t>
        </is>
      </c>
      <c r="F25" s="10" t="n">
        <v>261990</v>
      </c>
      <c r="G25" s="10" t="n">
        <v>261990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46175</v>
      </c>
      <c r="B26" s="9" t="n">
        <v>5682</v>
      </c>
      <c r="C26" s="9" t="inlineStr">
        <is>
          <t>А Сцена Корчин</t>
        </is>
      </c>
      <c r="D26" s="9" t="inlineStr">
        <is>
          <t>Іщук</t>
        </is>
      </c>
      <c r="E26" s="9" t="inlineStr">
        <is>
          <t>Авансовий платіж</t>
        </is>
      </c>
      <c r="F26" s="10" t="n">
        <v>87150</v>
      </c>
      <c r="G26" s="10" t="n">
        <v>87150</v>
      </c>
      <c r="H26" s="11">
        <f>F26-G26</f>
        <v/>
      </c>
      <c r="I26" s="9" t="inlineStr">
        <is>
          <t>отримано</t>
        </is>
      </c>
      <c r="J26" t="inlineStr">
        <is>
          <t>2026-06</t>
        </is>
      </c>
      <c r="K26" s="12" t="inlineStr"/>
    </row>
    <row r="27">
      <c r="A27" s="8" t="n">
        <v>46175</v>
      </c>
      <c r="B27" s="9" t="n">
        <v>8185</v>
      </c>
      <c r="C27" s="9" t="inlineStr">
        <is>
          <t>Фундамент Hytte House Development Славське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168024</v>
      </c>
      <c r="G27" s="10" t="n">
        <v>168024</v>
      </c>
      <c r="H27" s="11">
        <f>F27-G27</f>
        <v/>
      </c>
      <c r="I27" s="9" t="inlineStr">
        <is>
          <t>отримано</t>
        </is>
      </c>
      <c r="J27" t="inlineStr">
        <is>
          <t>2026-06</t>
        </is>
      </c>
      <c r="K27" s="12" t="inlineStr"/>
    </row>
    <row r="28">
      <c r="A28" s="8" t="n">
        <v>46177</v>
      </c>
      <c r="B28" s="9" t="n">
        <v>7894</v>
      </c>
      <c r="C28" s="9" t="inlineStr">
        <is>
          <t>SCP Фора  Хотів</t>
        </is>
      </c>
      <c r="D28" s="9" t="inlineStr">
        <is>
          <t>Донська</t>
        </is>
      </c>
      <c r="E28" s="9" t="inlineStr">
        <is>
          <t>Авансовий платіж</t>
        </is>
      </c>
      <c r="F28" s="10" t="n">
        <v>1487743.97</v>
      </c>
      <c r="G28" s="10" t="n">
        <v>1487743.97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46182</v>
      </c>
      <c r="B29" s="9" t="n">
        <v>8544</v>
      </c>
      <c r="C29" s="9" t="inlineStr">
        <is>
          <t>Isolar фланець Хмельницький</t>
        </is>
      </c>
      <c r="D29" s="9" t="inlineStr">
        <is>
          <t>Донська</t>
        </is>
      </c>
      <c r="E29" s="9" t="inlineStr">
        <is>
          <t>Другий платіж</t>
        </is>
      </c>
      <c r="F29" s="10" t="n">
        <v>7990.8</v>
      </c>
      <c r="G29" s="10" t="n">
        <v>7990.8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46184</v>
      </c>
      <c r="B30" s="9" t="n">
        <v>3456</v>
      </c>
      <c r="C30" s="9" t="inlineStr">
        <is>
          <t>А Підселання фундаменту</t>
        </is>
      </c>
      <c r="D30" s="9" t="inlineStr">
        <is>
          <t>Донська</t>
        </is>
      </c>
      <c r="E30" s="9" t="inlineStr">
        <is>
          <t>Другий платіж</t>
        </is>
      </c>
      <c r="F30" s="10" t="n">
        <v>783940.92</v>
      </c>
      <c r="G30" s="10" t="n">
        <v>783940.92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46184</v>
      </c>
      <c r="B31" s="9" t="n">
        <v>8360</v>
      </c>
      <c r="C31" s="9" t="inlineStr">
        <is>
          <t>Хаджет Лебедівка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95968.3</v>
      </c>
      <c r="G31" s="10" t="n">
        <v>95968.3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46185</v>
      </c>
      <c r="B32" s="9" t="n">
        <v>7474</v>
      </c>
      <c r="C32" s="9" t="inlineStr">
        <is>
          <t>А Головне управління Національної поліції в Одеській області  SCP  15PS</t>
        </is>
      </c>
      <c r="D32" s="9" t="inlineStr">
        <is>
          <t>Іщук</t>
        </is>
      </c>
      <c r="E32" s="9" t="inlineStr">
        <is>
          <t>П'ятий платіж</t>
        </is>
      </c>
      <c r="F32" s="10" t="n">
        <v>1749999</v>
      </c>
      <c r="G32" s="10" t="n">
        <v>1749999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46187</v>
      </c>
      <c r="B33" s="9" t="n">
        <v>8140</v>
      </c>
      <c r="C33" s="9" t="inlineStr">
        <is>
          <t>В Газинвестпроект фундамент Киев</t>
        </is>
      </c>
      <c r="D33" s="9" t="inlineStr">
        <is>
          <t>Заянчковський</t>
        </is>
      </c>
      <c r="E33" s="9" t="inlineStr">
        <is>
          <t>Другий платіж</t>
        </is>
      </c>
      <c r="F33" s="10" t="n">
        <v>86041.2</v>
      </c>
      <c r="G33" s="10" t="n">
        <v>86041.2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46188</v>
      </c>
      <c r="B34" s="9" t="n">
        <v>6406</v>
      </c>
      <c r="C34" s="9" t="inlineStr">
        <is>
          <t>Максим Яловий Чинадієво</t>
        </is>
      </c>
      <c r="D34" s="9" t="inlineStr">
        <is>
          <t>Іщук</t>
        </is>
      </c>
      <c r="E34" s="9" t="inlineStr">
        <is>
          <t>Авансовий платіж</t>
        </is>
      </c>
      <c r="F34" s="10" t="n">
        <v>154980</v>
      </c>
      <c r="G34" s="10" t="n">
        <v>154980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46190</v>
      </c>
      <c r="B35" s="9" t="n">
        <v>8008</v>
      </c>
      <c r="C35" s="9" t="inlineStr">
        <is>
          <t>Модулі Григорівка</t>
        </is>
      </c>
      <c r="D35" s="9" t="inlineStr">
        <is>
          <t>Донська</t>
        </is>
      </c>
      <c r="E35" s="9" t="inlineStr">
        <is>
          <t>Другий платіж</t>
        </is>
      </c>
      <c r="F35" s="10" t="n">
        <v>178088.4</v>
      </c>
      <c r="G35" s="10" t="n">
        <v>178088.4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46195</v>
      </c>
      <c r="B36" s="9" t="n">
        <v>8644</v>
      </c>
      <c r="C36" s="9" t="inlineStr">
        <is>
          <t>Solars ГШ 1,7+надставки 3,5</t>
        </is>
      </c>
      <c r="D36" s="9" t="inlineStr">
        <is>
          <t>Хома</t>
        </is>
      </c>
      <c r="E36" s="9" t="inlineStr">
        <is>
          <t>Авансовий платіж</t>
        </is>
      </c>
      <c r="F36" s="10" t="n">
        <v>415900</v>
      </c>
      <c r="G36" s="10" t="n">
        <v>415900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46196</v>
      </c>
      <c r="B37" s="9" t="n">
        <v>5682</v>
      </c>
      <c r="C37" s="9" t="inlineStr">
        <is>
          <t>А Сцена Корчин</t>
        </is>
      </c>
      <c r="D37" s="9" t="inlineStr">
        <is>
          <t>Іщук</t>
        </is>
      </c>
      <c r="E37" s="9" t="inlineStr">
        <is>
          <t>Другий платіж</t>
        </is>
      </c>
      <c r="F37" s="10" t="n">
        <v>369984.96</v>
      </c>
      <c r="G37" s="10" t="n">
        <v>369984.96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46197</v>
      </c>
      <c r="B38" s="9" t="n">
        <v>8360</v>
      </c>
      <c r="C38" s="9" t="inlineStr">
        <is>
          <t>Хаджет Лебедівка</t>
        </is>
      </c>
      <c r="D38" s="9" t="inlineStr">
        <is>
          <t>Донська</t>
        </is>
      </c>
      <c r="E38" s="9" t="inlineStr">
        <is>
          <t>Третій платіж</t>
        </is>
      </c>
      <c r="F38" s="10" t="n">
        <v>95968.3</v>
      </c>
      <c r="G38" s="10" t="n">
        <v>95968.3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  <c r="K38" s="12" t="inlineStr"/>
    </row>
    <row r="39">
      <c r="A39" s="8" t="n">
        <v>46202</v>
      </c>
      <c r="B39" s="9" t="n">
        <v>6704</v>
      </c>
      <c r="C39" s="9" t="inlineStr">
        <is>
          <t>SCP Taurus 236PS</t>
        </is>
      </c>
      <c r="D39" s="9" t="inlineStr">
        <is>
          <t>Хома</t>
        </is>
      </c>
      <c r="E39" s="9" t="inlineStr">
        <is>
          <t>Другий платіж</t>
        </is>
      </c>
      <c r="F39" s="10" t="n">
        <v>1857960</v>
      </c>
      <c r="G39" s="10" t="n">
        <v>1857960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  <c r="K39" s="12" t="inlineStr">
        <is>
          <t>€36 000</t>
        </is>
      </c>
    </row>
    <row r="40">
      <c r="A40" s="8" t="n">
        <v>46204</v>
      </c>
      <c r="B40" s="9" t="n">
        <v>4766</v>
      </c>
      <c r="C40" s="9" t="inlineStr">
        <is>
          <t>ALTECO Carport Model Taurus 280кВт</t>
        </is>
      </c>
      <c r="D40" s="9" t="inlineStr">
        <is>
          <t>Заянчковський</t>
        </is>
      </c>
      <c r="E40" s="9" t="inlineStr">
        <is>
          <t>Авансовий платіж</t>
        </is>
      </c>
      <c r="F40" s="10" t="n">
        <v>20000</v>
      </c>
      <c r="G40" s="10" t="n">
        <v>20000</v>
      </c>
      <c r="H40" s="11">
        <f>F40-G40</f>
        <v/>
      </c>
      <c r="I40" s="9" t="inlineStr">
        <is>
          <t>отримано</t>
        </is>
      </c>
      <c r="J40" t="inlineStr">
        <is>
          <t>2026-07</t>
        </is>
      </c>
      <c r="K40" s="12" t="inlineStr"/>
    </row>
    <row r="41">
      <c r="A41" s="8" t="n">
        <v>46209</v>
      </c>
      <c r="B41" s="9" t="n">
        <v>8878</v>
      </c>
      <c r="C41" s="9" t="inlineStr">
        <is>
          <t>А ТОВ КОМПАНІЯ ВОЛЬТ СЕРВІС ГРУП</t>
        </is>
      </c>
      <c r="D41" s="9" t="inlineStr">
        <is>
          <t>Заянчковський</t>
        </is>
      </c>
      <c r="E41" s="9" t="inlineStr">
        <is>
          <t>Авансовий платіж</t>
        </is>
      </c>
      <c r="F41" s="10" t="n">
        <v>410320</v>
      </c>
      <c r="G41" s="10" t="n">
        <v>410320</v>
      </c>
      <c r="H41" s="11">
        <f>F41-G41</f>
        <v/>
      </c>
      <c r="I41" s="9" t="inlineStr">
        <is>
          <t>отримано</t>
        </is>
      </c>
      <c r="J41" t="inlineStr">
        <is>
          <t>2026-07</t>
        </is>
      </c>
      <c r="K41" s="12" t="inlineStr"/>
    </row>
    <row r="42">
      <c r="A42" s="8" t="n">
        <v>46210</v>
      </c>
      <c r="B42" s="9" t="n">
        <v>8008</v>
      </c>
      <c r="C42" s="9" t="inlineStr">
        <is>
          <t>Модулі Григорівка</t>
        </is>
      </c>
      <c r="D42" s="9" t="inlineStr">
        <is>
          <t>Донська</t>
        </is>
      </c>
      <c r="E42" s="9" t="inlineStr">
        <is>
          <t>Третій платіж</t>
        </is>
      </c>
      <c r="F42" s="10" t="n">
        <v>178088.4</v>
      </c>
      <c r="G42" s="10" t="n">
        <v>178088.4</v>
      </c>
      <c r="H42" s="11">
        <f>F42-G42</f>
        <v/>
      </c>
      <c r="I42" s="9" t="inlineStr">
        <is>
          <t>отримано</t>
        </is>
      </c>
      <c r="J42" t="inlineStr">
        <is>
          <t>2026-07</t>
        </is>
      </c>
      <c r="K42" s="12" t="inlineStr"/>
    </row>
    <row r="43">
      <c r="A43" s="8" t="n">
        <v>46213</v>
      </c>
      <c r="B43" s="9" t="n">
        <v>8454</v>
      </c>
      <c r="C43" s="9" t="inlineStr">
        <is>
          <t>Олександр каркасний Верховина</t>
        </is>
      </c>
      <c r="D43" s="9" t="inlineStr">
        <is>
          <t>Донська</t>
        </is>
      </c>
      <c r="E43" s="9" t="inlineStr">
        <is>
          <t>Третій платіж</t>
        </is>
      </c>
      <c r="F43" s="10" t="n">
        <v>69666</v>
      </c>
      <c r="G43" s="10" t="n">
        <v>69666</v>
      </c>
      <c r="H43" s="11">
        <f>F43-G43</f>
        <v/>
      </c>
      <c r="I43" s="9" t="inlineStr">
        <is>
          <t>отримано</t>
        </is>
      </c>
      <c r="J43" t="inlineStr">
        <is>
          <t>2026-07</t>
        </is>
      </c>
      <c r="K43" s="12" t="inlineStr"/>
    </row>
    <row r="44">
      <c r="A44" s="8" t="n">
        <v>46216</v>
      </c>
      <c r="B44" s="9" t="n">
        <v>8496</v>
      </c>
      <c r="C44" s="9" t="inlineStr">
        <is>
          <t>А Greensource  SGM  110MWp</t>
        </is>
      </c>
      <c r="D44" s="9" t="inlineStr">
        <is>
          <t>Іщук</t>
        </is>
      </c>
      <c r="E44" s="9" t="inlineStr">
        <is>
          <t>Авансовий платіж</t>
        </is>
      </c>
      <c r="F44" s="10" t="n">
        <v>454168</v>
      </c>
      <c r="G44" s="10" t="n">
        <v>454168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>
        <is>
          <t>€8 800</t>
        </is>
      </c>
    </row>
    <row r="45">
      <c r="A45" s="8" t="n">
        <v>46216</v>
      </c>
      <c r="B45" s="9" t="n">
        <v>8898</v>
      </c>
      <c r="C45" s="9" t="inlineStr">
        <is>
          <t>Григорівка №3</t>
        </is>
      </c>
      <c r="D45" s="9" t="inlineStr">
        <is>
          <t>Донська</t>
        </is>
      </c>
      <c r="E45" s="9" t="inlineStr">
        <is>
          <t>Авансовий платіж</t>
        </is>
      </c>
      <c r="F45" s="10" t="n">
        <v>290403.65</v>
      </c>
      <c r="G45" s="10" t="n">
        <v>290403.65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/>
    </row>
    <row r="46">
      <c r="A46" s="8" t="n">
        <v>46217</v>
      </c>
      <c r="B46" s="9" t="n">
        <v>4766</v>
      </c>
      <c r="C46" s="9" t="inlineStr">
        <is>
          <t>ALTECO Carport Model Taurus 280кВт</t>
        </is>
      </c>
      <c r="D46" s="9" t="inlineStr">
        <is>
          <t>Заянчковський</t>
        </is>
      </c>
      <c r="E46" s="9" t="inlineStr">
        <is>
          <t>Другий платіж</t>
        </is>
      </c>
      <c r="F46" s="10" t="n">
        <v>100000</v>
      </c>
      <c r="G46" s="10" t="n">
        <v>100000</v>
      </c>
      <c r="H46" s="11">
        <f>F46-G46</f>
        <v/>
      </c>
      <c r="I46" s="9" t="inlineStr">
        <is>
          <t>отримано</t>
        </is>
      </c>
      <c r="J46" t="inlineStr">
        <is>
          <t>2026-07</t>
        </is>
      </c>
      <c r="K46" s="12" t="inlineStr"/>
    </row>
    <row r="47">
      <c r="A47" s="8" t="n">
        <v>46217</v>
      </c>
      <c r="B47" s="9" t="n">
        <v>8185</v>
      </c>
      <c r="C47" s="9" t="inlineStr">
        <is>
          <t>Фундамент Hytte House Development Славське</t>
        </is>
      </c>
      <c r="D47" s="9" t="inlineStr">
        <is>
          <t>Донська</t>
        </is>
      </c>
      <c r="E47" s="9" t="inlineStr">
        <is>
          <t>Другий платіж</t>
        </is>
      </c>
      <c r="F47" s="10" t="n">
        <v>63313.4</v>
      </c>
      <c r="G47" s="10" t="n">
        <v>63313.4</v>
      </c>
      <c r="H47" s="11">
        <f>F47-G47</f>
        <v/>
      </c>
      <c r="I47" s="9" t="inlineStr">
        <is>
          <t>отримано</t>
        </is>
      </c>
      <c r="J47" t="inlineStr">
        <is>
          <t>2026-07</t>
        </is>
      </c>
      <c r="K47" s="12" t="inlineStr"/>
    </row>
    <row r="48">
      <c r="A48" s="8" t="n">
        <v>46217</v>
      </c>
      <c r="B48" s="9" t="n">
        <v>8185</v>
      </c>
      <c r="C48" s="9" t="inlineStr">
        <is>
          <t>Фундамент Hytte House Development Славське</t>
        </is>
      </c>
      <c r="D48" s="9" t="inlineStr">
        <is>
          <t>Донська</t>
        </is>
      </c>
      <c r="E48" s="9" t="inlineStr">
        <is>
          <t>Третій платіж</t>
        </is>
      </c>
      <c r="F48" s="10" t="n">
        <v>63313.4</v>
      </c>
      <c r="G48" s="10" t="n">
        <v>63313.4</v>
      </c>
      <c r="H48" s="11">
        <f>F48-G48</f>
        <v/>
      </c>
      <c r="I48" s="9" t="inlineStr">
        <is>
          <t>отримано</t>
        </is>
      </c>
      <c r="J48" t="inlineStr">
        <is>
          <t>2026-07</t>
        </is>
      </c>
      <c r="K48" s="12" t="inlineStr"/>
    </row>
    <row r="49">
      <c r="A49" s="8" t="n">
        <v>46219</v>
      </c>
      <c r="B49" s="9" t="n">
        <v>6352</v>
      </c>
      <c r="C49" s="9" t="inlineStr">
        <is>
          <t>АБМК SCP Blade 8PS</t>
        </is>
      </c>
      <c r="D49" s="9" t="inlineStr">
        <is>
          <t>Донська</t>
        </is>
      </c>
      <c r="E49" s="9" t="inlineStr">
        <is>
          <t>Авансовий платіж</t>
        </is>
      </c>
      <c r="F49" s="10" t="n">
        <v>80000.03999999999</v>
      </c>
      <c r="G49" s="10" t="n">
        <v>80000.03999999999</v>
      </c>
      <c r="H49" s="11">
        <f>F49-G49</f>
        <v/>
      </c>
      <c r="I49" s="9" t="inlineStr">
        <is>
          <t>отримано</t>
        </is>
      </c>
      <c r="J49" t="inlineStr">
        <is>
          <t>2026-07</t>
        </is>
      </c>
      <c r="K49" s="12" t="inlineStr"/>
    </row>
    <row r="50">
      <c r="A50" s="8" t="n">
        <v>46219</v>
      </c>
      <c r="B50" s="9" t="n">
        <v>7002</v>
      </c>
      <c r="C50" s="9" t="inlineStr">
        <is>
          <t>Фора SCP Млиново</t>
        </is>
      </c>
      <c r="D50" s="9" t="inlineStr">
        <is>
          <t>Донська</t>
        </is>
      </c>
      <c r="E50" s="9" t="inlineStr">
        <is>
          <t>Авансовий платіж</t>
        </is>
      </c>
      <c r="F50" s="10" t="n">
        <v>126896.64</v>
      </c>
      <c r="G50" s="10" t="n">
        <v>126896.64</v>
      </c>
      <c r="H50" s="11">
        <f>F50-G50</f>
        <v/>
      </c>
      <c r="I50" s="9" t="inlineStr">
        <is>
          <t>отримано</t>
        </is>
      </c>
      <c r="J50" t="inlineStr">
        <is>
          <t>2026-07</t>
        </is>
      </c>
      <c r="K50" s="12" t="inlineStr"/>
    </row>
    <row r="51">
      <c r="A51" s="8" t="n">
        <v>46219</v>
      </c>
      <c r="B51" s="9" t="n">
        <v>7002</v>
      </c>
      <c r="C51" s="9" t="inlineStr">
        <is>
          <t>Фора SCP Млиново</t>
        </is>
      </c>
      <c r="D51" s="9" t="inlineStr">
        <is>
          <t>Донська</t>
        </is>
      </c>
      <c r="E51" s="9" t="inlineStr">
        <is>
          <t>Третій платіж</t>
        </is>
      </c>
      <c r="F51" s="10" t="n">
        <v>126896.64</v>
      </c>
      <c r="G51" s="10" t="n">
        <v>126896.64</v>
      </c>
      <c r="H51" s="11">
        <f>F51-G51</f>
        <v/>
      </c>
      <c r="I51" s="9" t="inlineStr">
        <is>
          <t>отримано</t>
        </is>
      </c>
      <c r="J51" t="inlineStr">
        <is>
          <t>2026-07</t>
        </is>
      </c>
      <c r="K51" s="12" t="inlineStr"/>
    </row>
    <row r="52">
      <c r="A52" s="8" t="n">
        <v>46219</v>
      </c>
      <c r="B52" s="9" t="n">
        <v>7002</v>
      </c>
      <c r="C52" s="9" t="inlineStr">
        <is>
          <t>Фора SCP Млиново</t>
        </is>
      </c>
      <c r="D52" s="9" t="inlineStr">
        <is>
          <t>Донська</t>
        </is>
      </c>
      <c r="E52" s="9" t="inlineStr">
        <is>
          <t>Четвертий платіж</t>
        </is>
      </c>
      <c r="F52" s="10" t="n">
        <v>573945</v>
      </c>
      <c r="G52" s="10" t="n">
        <v>573945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  <c r="K52" s="12" t="inlineStr"/>
    </row>
    <row r="53">
      <c r="A53" s="8" t="n">
        <v>46224</v>
      </c>
      <c r="B53" s="9" t="n">
        <v>4766</v>
      </c>
      <c r="C53" s="9" t="inlineStr">
        <is>
          <t>ALTECO Carport Model Taurus 280кВт</t>
        </is>
      </c>
      <c r="D53" s="9" t="inlineStr">
        <is>
          <t>Заянчковський</t>
        </is>
      </c>
      <c r="E53" s="9" t="inlineStr">
        <is>
          <t>Третій платіж</t>
        </is>
      </c>
      <c r="F53" s="10" t="n">
        <v>4368478.98</v>
      </c>
      <c r="G53" s="10" t="n">
        <v>4368478.98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  <c r="K53" s="12" t="inlineStr"/>
    </row>
    <row r="54">
      <c r="A54" s="8" t="n">
        <v>46225</v>
      </c>
      <c r="B54" s="9" t="n">
        <v>5910</v>
      </c>
      <c r="C54" s="9" t="inlineStr">
        <is>
          <t>SGM Brdovec, Хорватия</t>
        </is>
      </c>
      <c r="D54" s="9" t="inlineStr">
        <is>
          <t>Донська</t>
        </is>
      </c>
      <c r="E54" s="9" t="inlineStr">
        <is>
          <t>Авансовий платіж</t>
        </is>
      </c>
      <c r="F54" s="10" t="n">
        <v>8623514.9</v>
      </c>
      <c r="G54" s="10" t="n">
        <v>8623514.9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  <c r="K54" s="12" t="inlineStr">
        <is>
          <t>€167 090</t>
        </is>
      </c>
    </row>
    <row r="55">
      <c r="A55" s="8" t="n">
        <v>46230</v>
      </c>
      <c r="B55" s="9" t="n">
        <v>6312</v>
      </c>
      <c r="C55" s="9" t="inlineStr">
        <is>
          <t>-26 ГШ Фундамент домобудування Георгій</t>
        </is>
      </c>
      <c r="D55" s="9" t="inlineStr">
        <is>
          <t>Заянчковський</t>
        </is>
      </c>
      <c r="E55" s="9" t="inlineStr">
        <is>
          <t>Авансовий платіж</t>
        </is>
      </c>
      <c r="F55" s="10" t="n">
        <v>543429</v>
      </c>
      <c r="G55" s="10" t="n">
        <v>543429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/>
    </row>
    <row r="56">
      <c r="A56" s="8" t="n">
        <v>46231</v>
      </c>
      <c r="B56" s="9" t="n">
        <v>6130</v>
      </c>
      <c r="C56" s="9" t="inlineStr">
        <is>
          <t>-26 ГШ Фундамент домобудування Євро Простір Марія</t>
        </is>
      </c>
      <c r="D56" s="9" t="inlineStr">
        <is>
          <t>Заянчковський</t>
        </is>
      </c>
      <c r="E56" s="9" t="inlineStr">
        <is>
          <t>Авансовий платіж</t>
        </is>
      </c>
      <c r="F56" s="10" t="n">
        <v>56056</v>
      </c>
      <c r="G56" s="10" t="n">
        <v>56056</v>
      </c>
      <c r="H56" s="11">
        <f>F56-G56</f>
        <v/>
      </c>
      <c r="I56" s="9" t="inlineStr">
        <is>
          <t>отримано</t>
        </is>
      </c>
      <c r="J56" t="inlineStr">
        <is>
          <t>2026-07</t>
        </is>
      </c>
      <c r="K56" s="12" t="inlineStr"/>
    </row>
    <row r="57">
      <c r="A57" s="8" t="n">
        <v>46231</v>
      </c>
      <c r="B57" s="9" t="n">
        <v>6704</v>
      </c>
      <c r="C57" s="9" t="inlineStr">
        <is>
          <t>SCP Taurus 236PS</t>
        </is>
      </c>
      <c r="D57" s="9" t="inlineStr">
        <is>
          <t>Хома</t>
        </is>
      </c>
      <c r="E57" s="9" t="inlineStr">
        <is>
          <t>Третій платіж</t>
        </is>
      </c>
      <c r="F57" s="10" t="n">
        <v>4061707</v>
      </c>
      <c r="G57" s="10" t="n">
        <v>4061707</v>
      </c>
      <c r="H57" s="11">
        <f>F57-G57</f>
        <v/>
      </c>
      <c r="I57" s="9" t="inlineStr">
        <is>
          <t>отримано</t>
        </is>
      </c>
      <c r="J57" t="inlineStr">
        <is>
          <t>2026-07</t>
        </is>
      </c>
      <c r="K57" s="12" t="inlineStr">
        <is>
          <t>€78 700</t>
        </is>
      </c>
    </row>
    <row r="58">
      <c r="A58" s="8" t="n">
        <v>46232</v>
      </c>
      <c r="B58" s="9" t="n">
        <v>6130</v>
      </c>
      <c r="C58" s="9" t="inlineStr">
        <is>
          <t>-26 ГШ Фундамент домобудування Євро Простір Марія</t>
        </is>
      </c>
      <c r="D58" s="9" t="inlineStr">
        <is>
          <t>Заянчковський</t>
        </is>
      </c>
      <c r="E58" s="9" t="inlineStr">
        <is>
          <t>Другий платіж</t>
        </is>
      </c>
      <c r="F58" s="10" t="n">
        <v>50964</v>
      </c>
      <c r="G58" s="10" t="n">
        <v>50964</v>
      </c>
      <c r="H58" s="11">
        <f>F58-G58</f>
        <v/>
      </c>
      <c r="I58" s="9" t="inlineStr">
        <is>
          <t>отримано</t>
        </is>
      </c>
      <c r="J58" t="inlineStr">
        <is>
          <t>2026-07</t>
        </is>
      </c>
      <c r="K58" s="12" t="inlineStr"/>
    </row>
    <row r="59">
      <c r="A59" s="8" t="n">
        <v>46234</v>
      </c>
      <c r="B59" s="9" t="n">
        <v>6130</v>
      </c>
      <c r="C59" s="9" t="inlineStr">
        <is>
          <t>-26 ГШ Фундамент домобудування Євро Простір Марія</t>
        </is>
      </c>
      <c r="D59" s="9" t="inlineStr">
        <is>
          <t>Заянчковський</t>
        </is>
      </c>
      <c r="E59" s="9" t="inlineStr">
        <is>
          <t>Третій платіж</t>
        </is>
      </c>
      <c r="F59" s="10" t="n">
        <v>75762</v>
      </c>
      <c r="G59" s="10" t="n">
        <v>75762</v>
      </c>
      <c r="H59" s="11">
        <f>F59-G59</f>
        <v/>
      </c>
      <c r="I59" s="9" t="inlineStr">
        <is>
          <t>отримано</t>
        </is>
      </c>
      <c r="J59" t="inlineStr">
        <is>
          <t>2026-07</t>
        </is>
      </c>
      <c r="K59" s="12" t="inlineStr"/>
    </row>
    <row r="60">
      <c r="A60" s="8" t="n">
        <v>46237</v>
      </c>
      <c r="B60" s="9" t="n">
        <v>6130</v>
      </c>
      <c r="C60" s="9" t="inlineStr">
        <is>
          <t>-26 ГШ Фундамент домобудування Євро Простір Марія</t>
        </is>
      </c>
      <c r="D60" s="9" t="inlineStr">
        <is>
          <t>Заянчковський</t>
        </is>
      </c>
      <c r="E60" s="9" t="inlineStr">
        <is>
          <t>Четвертий платіж</t>
        </is>
      </c>
      <c r="F60" s="10" t="n">
        <v>36665</v>
      </c>
      <c r="G60" s="10" t="n">
        <v>36665</v>
      </c>
      <c r="H60" s="11">
        <f>F60-G60</f>
        <v/>
      </c>
      <c r="I60" s="9" t="inlineStr">
        <is>
          <t>отримано</t>
        </is>
      </c>
      <c r="J60" t="inlineStr">
        <is>
          <t>2026-08</t>
        </is>
      </c>
      <c r="K60" s="12" t="inlineStr"/>
    </row>
    <row r="61">
      <c r="A61" s="8" t="n">
        <v>46237</v>
      </c>
      <c r="B61" s="9" t="n">
        <v>6352</v>
      </c>
      <c r="C61" s="9" t="inlineStr">
        <is>
          <t>АБМК SCP Blade 8PS</t>
        </is>
      </c>
      <c r="D61" s="9" t="inlineStr">
        <is>
          <t>Донська</t>
        </is>
      </c>
      <c r="E61" s="9" t="inlineStr">
        <is>
          <t>Другий платіж</t>
        </is>
      </c>
      <c r="F61" s="10" t="n">
        <v>1399046.58</v>
      </c>
      <c r="G61" s="10" t="n">
        <v>1399046.58</v>
      </c>
      <c r="H61" s="11">
        <f>F61-G61</f>
        <v/>
      </c>
      <c r="I61" s="9" t="inlineStr">
        <is>
          <t>отримано</t>
        </is>
      </c>
      <c r="J61" t="inlineStr">
        <is>
          <t>2026-08</t>
        </is>
      </c>
      <c r="K61" s="12" t="inlineStr"/>
    </row>
    <row r="62">
      <c r="A62" s="8" t="n">
        <v>46238</v>
      </c>
      <c r="B62" s="9" t="n">
        <v>4766</v>
      </c>
      <c r="C62" s="9" t="inlineStr">
        <is>
          <t>ALTECO Carport Model Taurus 280кВт</t>
        </is>
      </c>
      <c r="D62" s="9" t="inlineStr">
        <is>
          <t>Заянчковський</t>
        </is>
      </c>
      <c r="E62" s="9" t="inlineStr">
        <is>
          <t>Четвертий платіж</t>
        </is>
      </c>
      <c r="F62" s="10" t="n">
        <v>64050</v>
      </c>
      <c r="G62" s="10" t="n">
        <v>64050</v>
      </c>
      <c r="H62" s="11">
        <f>F62-G62</f>
        <v/>
      </c>
      <c r="I62" s="9" t="inlineStr">
        <is>
          <t>отримано</t>
        </is>
      </c>
      <c r="J62" t="inlineStr">
        <is>
          <t>2026-08</t>
        </is>
      </c>
      <c r="K62" s="12" t="inlineStr"/>
    </row>
    <row r="63">
      <c r="A63" s="8" t="n">
        <v>46238</v>
      </c>
      <c r="B63" s="9" t="n">
        <v>8188</v>
      </c>
      <c r="C63" s="9" t="inlineStr">
        <is>
          <t>Фундамент Ужгород Стефанія</t>
        </is>
      </c>
      <c r="D63" s="9" t="inlineStr">
        <is>
          <t>Іщук</t>
        </is>
      </c>
      <c r="E63" s="9" t="inlineStr">
        <is>
          <t>Другий платіж</t>
        </is>
      </c>
      <c r="F63" s="10" t="n">
        <v>73926</v>
      </c>
      <c r="G63" s="10" t="n">
        <v>75926</v>
      </c>
      <c r="H63" s="11">
        <f>F63-G63</f>
        <v/>
      </c>
      <c r="I63" s="9" t="inlineStr">
        <is>
          <t>отримано</t>
        </is>
      </c>
      <c r="J63" t="inlineStr">
        <is>
          <t>2026-08</t>
        </is>
      </c>
      <c r="K63" s="12" t="inlineStr"/>
    </row>
    <row r="64">
      <c r="A64" s="8" t="n">
        <v>46240</v>
      </c>
      <c r="B64" s="9" t="n">
        <v>5870</v>
      </c>
      <c r="C64" s="9" t="inlineStr">
        <is>
          <t>Carport Airport Munich</t>
        </is>
      </c>
      <c r="D64" s="9" t="inlineStr">
        <is>
          <t>Хома</t>
        </is>
      </c>
      <c r="E64" s="9" t="inlineStr">
        <is>
          <t>Другий платіж</t>
        </is>
      </c>
      <c r="F64" s="10" t="n">
        <v>4940367.25</v>
      </c>
      <c r="G64" s="10" t="n">
        <v>4940367.25</v>
      </c>
      <c r="H64" s="11">
        <f>F64-G64</f>
        <v/>
      </c>
      <c r="I64" s="9" t="inlineStr">
        <is>
          <t>отримано</t>
        </is>
      </c>
      <c r="J64" t="inlineStr">
        <is>
          <t>2026-08</t>
        </is>
      </c>
      <c r="K64" s="12" t="inlineStr">
        <is>
          <t>€95 725</t>
        </is>
      </c>
    </row>
    <row r="65">
      <c r="A65" s="8" t="n">
        <v>46247</v>
      </c>
      <c r="B65" s="9" t="n">
        <v>6406</v>
      </c>
      <c r="C65" s="9" t="inlineStr">
        <is>
          <t>Максим Яловий Чинадієво</t>
        </is>
      </c>
      <c r="D65" s="9" t="inlineStr">
        <is>
          <t>Іщук</t>
        </is>
      </c>
      <c r="E65" s="9" t="inlineStr">
        <is>
          <t>Другий платіж</t>
        </is>
      </c>
      <c r="F65" s="10" t="n">
        <v>218602</v>
      </c>
      <c r="G65" s="10" t="n">
        <v>0</v>
      </c>
      <c r="H65" s="11">
        <f>F65-G65</f>
        <v/>
      </c>
      <c r="I65" s="9" t="inlineStr">
        <is>
          <t>прострочено</t>
        </is>
      </c>
      <c r="J65" t="inlineStr">
        <is>
          <t>2026-08</t>
        </is>
      </c>
      <c r="K65" s="12" t="inlineStr"/>
    </row>
    <row r="66">
      <c r="A66" s="8" t="n">
        <v>46248</v>
      </c>
      <c r="B66" s="9" t="n">
        <v>5870</v>
      </c>
      <c r="C66" s="9" t="inlineStr">
        <is>
          <t>Carport Airport Munich</t>
        </is>
      </c>
      <c r="D66" s="9" t="inlineStr">
        <is>
          <t>Хома</t>
        </is>
      </c>
      <c r="E66" s="9" t="inlineStr">
        <is>
          <t>Третій платіж</t>
        </is>
      </c>
      <c r="F66" s="10" t="n">
        <v>1655390.75</v>
      </c>
      <c r="G66" s="10" t="n">
        <v>0</v>
      </c>
      <c r="H66" s="11">
        <f>F66-G66</f>
        <v/>
      </c>
      <c r="I66" s="9" t="inlineStr">
        <is>
          <t>очікується</t>
        </is>
      </c>
      <c r="J66" t="inlineStr">
        <is>
          <t>2026-08</t>
        </is>
      </c>
      <c r="K66" s="12" t="inlineStr">
        <is>
          <t>€32 075</t>
        </is>
      </c>
    </row>
    <row r="67">
      <c r="A67" s="8" t="n">
        <v>46250</v>
      </c>
      <c r="B67" s="9" t="n">
        <v>8878</v>
      </c>
      <c r="C67" s="9" t="inlineStr">
        <is>
          <t>А ТОВ КОМПАНІЯ ВОЛЬТ СЕРВІС ГРУП</t>
        </is>
      </c>
      <c r="D67" s="9" t="inlineStr">
        <is>
          <t>Заянчковський</t>
        </is>
      </c>
      <c r="E67" s="9" t="inlineStr">
        <is>
          <t>П'ятий платіж</t>
        </is>
      </c>
      <c r="F67" s="10" t="n">
        <v>12823</v>
      </c>
      <c r="G67" s="10" t="n">
        <v>0</v>
      </c>
      <c r="H67" s="11">
        <f>F67-G67</f>
        <v/>
      </c>
      <c r="I67" s="9" t="inlineStr">
        <is>
          <t>очікується</t>
        </is>
      </c>
      <c r="J67" t="inlineStr">
        <is>
          <t>2026-08</t>
        </is>
      </c>
      <c r="K67" s="12" t="inlineStr"/>
    </row>
    <row r="68">
      <c r="A68" s="8" t="n">
        <v>46252</v>
      </c>
      <c r="B68" s="9" t="n">
        <v>8898</v>
      </c>
      <c r="C68" s="9" t="inlineStr">
        <is>
          <t>Григорівка №3</t>
        </is>
      </c>
      <c r="D68" s="9" t="inlineStr">
        <is>
          <t>Донська</t>
        </is>
      </c>
      <c r="E68" s="9" t="inlineStr">
        <is>
          <t>Другий платіж</t>
        </is>
      </c>
      <c r="F68" s="10" t="n">
        <v>188043.75</v>
      </c>
      <c r="G68" s="10" t="n">
        <v>0</v>
      </c>
      <c r="H68" s="11">
        <f>F68-G68</f>
        <v/>
      </c>
      <c r="I68" s="9" t="inlineStr">
        <is>
          <t>очікується</t>
        </is>
      </c>
      <c r="J68" t="inlineStr">
        <is>
          <t>2026-08</t>
        </is>
      </c>
      <c r="K68" s="12" t="inlineStr"/>
    </row>
    <row r="69">
      <c r="A69" s="8" t="n">
        <v>46258</v>
      </c>
      <c r="B69" s="9" t="n">
        <v>3456</v>
      </c>
      <c r="C69" s="9" t="inlineStr">
        <is>
          <t>А Підселання фундаменту</t>
        </is>
      </c>
      <c r="D69" s="9" t="inlineStr">
        <is>
          <t>Донська</t>
        </is>
      </c>
      <c r="E69" s="9" t="inlineStr">
        <is>
          <t>Третій платіж</t>
        </is>
      </c>
      <c r="F69" s="10" t="n">
        <v>335974.68</v>
      </c>
      <c r="G69" s="10" t="n">
        <v>0</v>
      </c>
      <c r="H69" s="11">
        <f>F69-G69</f>
        <v/>
      </c>
      <c r="I69" s="9" t="inlineStr">
        <is>
          <t>очікується</t>
        </is>
      </c>
      <c r="J69" t="inlineStr">
        <is>
          <t>2026-08</t>
        </is>
      </c>
      <c r="K69" s="12" t="inlineStr"/>
    </row>
    <row r="70">
      <c r="A70" s="8" t="n">
        <v>46258</v>
      </c>
      <c r="B70" s="9" t="n">
        <v>5910</v>
      </c>
      <c r="C70" s="9" t="inlineStr">
        <is>
          <t>SGM Brdovec, Хорватия</t>
        </is>
      </c>
      <c r="D70" s="9" t="inlineStr">
        <is>
          <t>Донська</t>
        </is>
      </c>
      <c r="E70" s="9" t="inlineStr">
        <is>
          <t>Другий платіж 60%</t>
        </is>
      </c>
      <c r="F70" s="10" t="n">
        <v>17247081.41</v>
      </c>
      <c r="G70" s="10" t="n">
        <v>2963446.2</v>
      </c>
      <c r="H70" s="11">
        <f>F70-G70</f>
        <v/>
      </c>
      <c r="I70" s="9" t="inlineStr">
        <is>
          <t>очікується</t>
        </is>
      </c>
      <c r="J70" t="inlineStr">
        <is>
          <t>2026-08</t>
        </is>
      </c>
      <c r="K70" s="12" t="inlineStr">
        <is>
          <t>€334 181</t>
        </is>
      </c>
    </row>
    <row r="71">
      <c r="A71" s="8" t="n">
        <v>46258</v>
      </c>
      <c r="B71" s="9" t="n">
        <v>6352</v>
      </c>
      <c r="C71" s="9" t="inlineStr">
        <is>
          <t>АБМК SCP Blade 8PS</t>
        </is>
      </c>
      <c r="D71" s="9" t="inlineStr">
        <is>
          <t>Донська</t>
        </is>
      </c>
      <c r="E71" s="9" t="inlineStr">
        <is>
          <t>Третій платіж</t>
        </is>
      </c>
      <c r="F71" s="10" t="n">
        <v>1119237.26</v>
      </c>
      <c r="G71" s="10" t="n">
        <v>0</v>
      </c>
      <c r="H71" s="11">
        <f>F71-G71</f>
        <v/>
      </c>
      <c r="I71" s="9" t="inlineStr">
        <is>
          <t>очікується</t>
        </is>
      </c>
      <c r="J71" t="inlineStr">
        <is>
          <t>2026-08</t>
        </is>
      </c>
      <c r="K71" s="12" t="inlineStr"/>
    </row>
    <row r="72">
      <c r="A72" s="8" t="n">
        <v>46262</v>
      </c>
      <c r="B72" s="9" t="n">
        <v>7894</v>
      </c>
      <c r="C72" s="9" t="inlineStr">
        <is>
          <t>SCP Фора  Хотів</t>
        </is>
      </c>
      <c r="D72" s="9" t="inlineStr">
        <is>
          <t>Донська</t>
        </is>
      </c>
      <c r="E72" s="9" t="inlineStr">
        <is>
          <t>Другий платіж</t>
        </is>
      </c>
      <c r="F72" s="10" t="n">
        <v>185968</v>
      </c>
      <c r="G72" s="10" t="n">
        <v>0</v>
      </c>
      <c r="H72" s="11">
        <f>F72-G72</f>
        <v/>
      </c>
      <c r="I72" s="9" t="inlineStr">
        <is>
          <t>очікується</t>
        </is>
      </c>
      <c r="J72" t="inlineStr">
        <is>
          <t>2026-08</t>
        </is>
      </c>
      <c r="K72" s="12" t="inlineStr"/>
    </row>
    <row r="73">
      <c r="A73" s="8" t="n">
        <v>46263</v>
      </c>
      <c r="B73" s="9" t="n">
        <v>7894</v>
      </c>
      <c r="C73" s="9" t="inlineStr">
        <is>
          <t>SCP Фора  Хотів</t>
        </is>
      </c>
      <c r="D73" s="9" t="inlineStr">
        <is>
          <t>Донська</t>
        </is>
      </c>
      <c r="E73" s="9" t="inlineStr">
        <is>
          <t>Третій платіж</t>
        </is>
      </c>
      <c r="F73" s="10" t="n">
        <v>185967.99</v>
      </c>
      <c r="G73" s="10" t="n">
        <v>0</v>
      </c>
      <c r="H73" s="11">
        <f>F73-G73</f>
        <v/>
      </c>
      <c r="I73" s="9" t="inlineStr">
        <is>
          <t>очікується</t>
        </is>
      </c>
      <c r="J73" t="inlineStr">
        <is>
          <t>2026-08</t>
        </is>
      </c>
      <c r="K73" s="12" t="inlineStr"/>
    </row>
    <row r="74">
      <c r="A74" s="8" t="n">
        <v>46265</v>
      </c>
      <c r="B74" s="9" t="n">
        <v>6130</v>
      </c>
      <c r="C74" s="9" t="inlineStr">
        <is>
          <t>-26 ГШ Фундамент домобудування Євро Простір Марія</t>
        </is>
      </c>
      <c r="D74" s="9" t="inlineStr">
        <is>
          <t>Заянчковський</t>
        </is>
      </c>
      <c r="E74" s="9" t="inlineStr">
        <is>
          <t>П'ятий платіж</t>
        </is>
      </c>
      <c r="F74" s="10" t="n">
        <v>73335</v>
      </c>
      <c r="G74" s="10" t="n">
        <v>36665</v>
      </c>
      <c r="H74" s="11">
        <f>F74-G74</f>
        <v/>
      </c>
      <c r="I74" s="9" t="inlineStr">
        <is>
          <t>очікується</t>
        </is>
      </c>
      <c r="J74" t="inlineStr">
        <is>
          <t>2026-08</t>
        </is>
      </c>
      <c r="K74" s="12" t="inlineStr"/>
    </row>
    <row r="75">
      <c r="A75" s="8" t="n">
        <v>46265</v>
      </c>
      <c r="B75" s="9" t="n">
        <v>7244</v>
      </c>
      <c r="C75" s="9" t="inlineStr">
        <is>
          <t>В Модулекс модульна будівля Чернігів</t>
        </is>
      </c>
      <c r="D75" s="9" t="inlineStr">
        <is>
          <t>Заянчковський</t>
        </is>
      </c>
      <c r="E75" s="9" t="inlineStr">
        <is>
          <t>П'ятий платіж</t>
        </is>
      </c>
      <c r="F75" s="10" t="n">
        <v>132708.6</v>
      </c>
      <c r="G75" s="10" t="n">
        <v>0</v>
      </c>
      <c r="H75" s="11">
        <f>F75-G75</f>
        <v/>
      </c>
      <c r="I75" s="9" t="inlineStr">
        <is>
          <t>очікується</t>
        </is>
      </c>
      <c r="J75" t="inlineStr">
        <is>
          <t>2026-08</t>
        </is>
      </c>
      <c r="K75" s="12" t="inlineStr"/>
    </row>
    <row r="76">
      <c r="A76" s="8" t="n">
        <v>46267</v>
      </c>
      <c r="B76" s="9" t="n">
        <v>4766</v>
      </c>
      <c r="C76" s="9" t="inlineStr">
        <is>
          <t>ALTECO Carport Model Taurus 280кВт</t>
        </is>
      </c>
      <c r="D76" s="9" t="inlineStr">
        <is>
          <t>Заянчковський</t>
        </is>
      </c>
      <c r="E76" s="9" t="inlineStr">
        <is>
          <t>П'ятий платіж</t>
        </is>
      </c>
      <c r="F76" s="10" t="n">
        <v>1263447.42</v>
      </c>
      <c r="G76" s="10" t="n">
        <v>0</v>
      </c>
      <c r="H76" s="11">
        <f>F76-G76</f>
        <v/>
      </c>
      <c r="I76" s="9" t="inlineStr">
        <is>
          <t>очікується</t>
        </is>
      </c>
      <c r="J76" t="inlineStr">
        <is>
          <t>2026-09</t>
        </is>
      </c>
      <c r="K76" s="12" t="inlineStr"/>
    </row>
    <row r="77">
      <c r="A77" s="8" t="n">
        <v>46267</v>
      </c>
      <c r="B77" s="9" t="n">
        <v>5910</v>
      </c>
      <c r="C77" s="9" t="inlineStr">
        <is>
          <t>SGM Brdovec, Хорватия</t>
        </is>
      </c>
      <c r="D77" s="9" t="inlineStr">
        <is>
          <t>Донська</t>
        </is>
      </c>
      <c r="E77" s="9" t="inlineStr">
        <is>
          <t>Третій платіж</t>
        </is>
      </c>
      <c r="F77" s="10" t="n">
        <v>2874367.34</v>
      </c>
      <c r="G77" s="10" t="n">
        <v>0</v>
      </c>
      <c r="H77" s="11">
        <f>F77-G77</f>
        <v/>
      </c>
      <c r="I77" s="9" t="inlineStr">
        <is>
          <t>очікується</t>
        </is>
      </c>
      <c r="J77" t="inlineStr">
        <is>
          <t>2026-09</t>
        </is>
      </c>
      <c r="K77" s="12" t="inlineStr">
        <is>
          <t>€55 694</t>
        </is>
      </c>
    </row>
    <row r="78">
      <c r="A78" s="8" t="n">
        <v>46273</v>
      </c>
      <c r="B78" s="9" t="n">
        <v>7002</v>
      </c>
      <c r="C78" s="9" t="inlineStr">
        <is>
          <t>Фора SCP Млиново</t>
        </is>
      </c>
      <c r="D78" s="9" t="inlineStr">
        <is>
          <t>Донська</t>
        </is>
      </c>
      <c r="E78" s="9" t="inlineStr">
        <is>
          <t>П'ятий платіж</t>
        </is>
      </c>
      <c r="F78" s="10" t="n">
        <v>573945</v>
      </c>
      <c r="G78" s="10" t="n">
        <v>0</v>
      </c>
      <c r="H78" s="11">
        <f>F78-G78</f>
        <v/>
      </c>
      <c r="I78" s="9" t="inlineStr">
        <is>
          <t>очікується</t>
        </is>
      </c>
      <c r="J78" t="inlineStr">
        <is>
          <t>2026-09</t>
        </is>
      </c>
      <c r="K78" s="12" t="inlineStr"/>
    </row>
    <row r="79">
      <c r="A79" s="8" t="n">
        <v>46280</v>
      </c>
      <c r="B79" s="9" t="n">
        <v>8898</v>
      </c>
      <c r="C79" s="9" t="inlineStr">
        <is>
          <t>Григорівка №3</t>
        </is>
      </c>
      <c r="D79" s="9" t="inlineStr">
        <is>
          <t>Донська</t>
        </is>
      </c>
      <c r="E79" s="9" t="inlineStr">
        <is>
          <t>Третій платіж</t>
        </is>
      </c>
      <c r="F79" s="10" t="n">
        <v>188043.75</v>
      </c>
      <c r="G79" s="10" t="n">
        <v>0</v>
      </c>
      <c r="H79" s="11">
        <f>F79-G79</f>
        <v/>
      </c>
      <c r="I79" s="9" t="inlineStr">
        <is>
          <t>очікується</t>
        </is>
      </c>
      <c r="J79" t="inlineStr">
        <is>
          <t>2026-09</t>
        </is>
      </c>
      <c r="K79" s="12" t="inlineStr"/>
    </row>
    <row r="80">
      <c r="A80" s="8" t="n">
        <v>46283</v>
      </c>
      <c r="B80" s="9" t="n">
        <v>7508</v>
      </c>
      <c r="C80" s="9" t="inlineStr">
        <is>
          <t>8602 Євген Весільна тераса Подорожнє</t>
        </is>
      </c>
      <c r="D80" s="9" t="inlineStr">
        <is>
          <t>Заянчковський</t>
        </is>
      </c>
      <c r="E80" s="9" t="inlineStr">
        <is>
          <t>Третій платіж</t>
        </is>
      </c>
      <c r="F80" s="10" t="n">
        <v>750999.9399999999</v>
      </c>
      <c r="G80" s="10" t="n">
        <v>0</v>
      </c>
      <c r="H80" s="11">
        <f>F80-G80</f>
        <v/>
      </c>
      <c r="I80" s="9" t="inlineStr">
        <is>
          <t>очікується</t>
        </is>
      </c>
      <c r="J80" t="inlineStr">
        <is>
          <t>2026-09</t>
        </is>
      </c>
      <c r="K80" s="12" t="inlineStr"/>
    </row>
    <row r="81">
      <c r="A81" s="8" t="n">
        <v>46297</v>
      </c>
      <c r="B81" s="9" t="n">
        <v>7894</v>
      </c>
      <c r="C81" s="9" t="inlineStr">
        <is>
          <t>SCP Фора  Хотів</t>
        </is>
      </c>
      <c r="D81" s="9" t="inlineStr">
        <is>
          <t>Донська</t>
        </is>
      </c>
      <c r="E81" s="9" t="inlineStr">
        <is>
          <t>П'ятий платіж</t>
        </is>
      </c>
      <c r="F81" s="10" t="n">
        <v>737597.4</v>
      </c>
      <c r="G81" s="10" t="n">
        <v>0</v>
      </c>
      <c r="H81" s="11">
        <f>F81-G81</f>
        <v/>
      </c>
      <c r="I81" s="9" t="inlineStr">
        <is>
          <t>очікується</t>
        </is>
      </c>
      <c r="J81" t="inlineStr">
        <is>
          <t>2026-10</t>
        </is>
      </c>
      <c r="K81" s="12" t="inlineStr"/>
    </row>
    <row r="82">
      <c r="A82" s="8" t="n">
        <v>46308</v>
      </c>
      <c r="B82" s="9" t="n">
        <v>6352</v>
      </c>
      <c r="C82" s="9" t="inlineStr">
        <is>
          <t>АБМК SCP Blade 8PS</t>
        </is>
      </c>
      <c r="D82" s="9" t="inlineStr">
        <is>
          <t>Донська</t>
        </is>
      </c>
      <c r="E82" s="9" t="inlineStr">
        <is>
          <t>Четвертий платіж</t>
        </is>
      </c>
      <c r="F82" s="10" t="n">
        <v>371982.96</v>
      </c>
      <c r="G82" s="10" t="n">
        <v>0</v>
      </c>
      <c r="H82" s="11">
        <f>F82-G82</f>
        <v/>
      </c>
      <c r="I82" s="9" t="inlineStr">
        <is>
          <t>очікується</t>
        </is>
      </c>
      <c r="J82" t="inlineStr">
        <is>
          <t>2026-10</t>
        </is>
      </c>
      <c r="K82" s="12" t="inlineStr"/>
    </row>
    <row r="83">
      <c r="A83" s="8" t="n">
        <v>46321</v>
      </c>
      <c r="B83" s="9" t="n">
        <v>6352</v>
      </c>
      <c r="C83" s="9" t="inlineStr">
        <is>
          <t>АБМК SCP Blade 8PS</t>
        </is>
      </c>
      <c r="D83" s="9" t="inlineStr">
        <is>
          <t>Донська</t>
        </is>
      </c>
      <c r="E83" s="9" t="inlineStr">
        <is>
          <t>П'ятий платіж</t>
        </is>
      </c>
      <c r="F83" s="10" t="n">
        <v>651792.28</v>
      </c>
      <c r="G83" s="10" t="n">
        <v>0</v>
      </c>
      <c r="H83" s="11">
        <f>F83-G83</f>
        <v/>
      </c>
      <c r="I83" s="9" t="inlineStr">
        <is>
          <t>очікується</t>
        </is>
      </c>
      <c r="J83" t="inlineStr">
        <is>
          <t>2026-10</t>
        </is>
      </c>
      <c r="K83" s="12" t="inlineStr"/>
    </row>
    <row r="84">
      <c r="E84" s="3" t="inlineStr">
        <is>
          <t>Разом</t>
        </is>
      </c>
      <c r="F84" s="13">
        <f>SUM(F2:F83)</f>
        <v/>
      </c>
      <c r="G84" s="13">
        <f>SUM(G2:G83)</f>
        <v/>
      </c>
      <c r="H84" s="13">
        <f>SUM(H2:H83)</f>
        <v/>
      </c>
    </row>
  </sheetData>
  <autoFilter ref="A1:I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9" t="inlineStr">
        <is>
          <t>жов 2026</t>
        </is>
      </c>
      <c r="B8" s="11">
        <f>SUMIF('Графік надходжень'!J:J,"2026-10",'Графік надходжень'!F:F)</f>
        <v/>
      </c>
      <c r="C8" s="11">
        <f>SUMIF('Графік надходжень'!J:J,"2026-10",'Графік надходжень'!G:G)</f>
        <v/>
      </c>
      <c r="D8" s="11">
        <f>B8-C8</f>
        <v/>
      </c>
      <c r="E8" s="14">
        <f>IF(B8=0,0,C8/B8)</f>
        <v/>
      </c>
    </row>
    <row r="9">
      <c r="A9" s="3" t="inlineStr">
        <is>
          <t>Разом</t>
        </is>
      </c>
      <c r="B9" s="13">
        <f>SUM(B2:B8)</f>
        <v/>
      </c>
      <c r="C9" s="13">
        <f>SUM(C2:C8)</f>
        <v/>
      </c>
      <c r="D9" s="13">
        <f>SUM(D2:D8)</f>
        <v/>
      </c>
      <c r="E9" s="15">
        <f>IF(B9=0,0,C9/B9)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46247</v>
      </c>
      <c r="B2" s="9" t="n">
        <v>6406</v>
      </c>
      <c r="C2" s="9" t="inlineStr">
        <is>
          <t>Максим Яловий Чинадієво</t>
        </is>
      </c>
      <c r="D2" s="9" t="inlineStr">
        <is>
          <t>Другий платіж</t>
        </is>
      </c>
      <c r="E2" s="11" t="n">
        <v>218602</v>
      </c>
      <c r="F2" s="11" t="n">
        <v>0</v>
      </c>
      <c r="G2" s="11">
        <f>E2-F2</f>
        <v/>
      </c>
    </row>
    <row r="3">
      <c r="D3" s="3" t="inlineStr">
        <is>
          <t>Разом</t>
        </is>
      </c>
      <c r="E3" s="13">
        <f>SUM(E2:E2)</f>
        <v/>
      </c>
      <c r="F3" s="13">
        <f>SUM(F2:F2)</f>
        <v/>
      </c>
      <c r="G3" s="13">
        <f>SUM(G2:G2)</f>
        <v/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2026-08-13T03:21:03Z</dcterms:created>
  <dcterms:modified xmlns:dcterms="http://purl.org/dc/terms/" xmlns:xsi="http://www.w3.org/2001/XMLSchema-instance" xsi:type="dcterms:W3CDTF">2026-08-13T03:21:03Z</dcterms:modified>
</cp:coreProperties>
</file>