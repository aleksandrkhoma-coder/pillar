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надходжень'!$A$1:$I$100</definedName>
    <definedName name="_xlnm._FilterDatabase" localSheetId="3" hidden="1">'Прострочені'!$A$1:$G$4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14.09.2026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2582000</v>
      </c>
      <c r="G10" s="10" t="n">
        <v>2582000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5164000</v>
      </c>
      <c r="G11" s="10" t="n">
        <v>5164000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1859040</v>
      </c>
      <c r="G39" s="10" t="n">
        <v>1859040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454432</v>
      </c>
      <c r="G44" s="10" t="n">
        <v>454432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8628527.6</v>
      </c>
      <c r="G54" s="10" t="n">
        <v>8628527.6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4064068</v>
      </c>
      <c r="G57" s="10" t="n">
        <v>4064068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4943239</v>
      </c>
      <c r="G66" s="10" t="n">
        <v>4943239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752653</v>
      </c>
      <c r="G67" s="10" t="n">
        <v>752653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558486.6</v>
      </c>
      <c r="G69" s="10" t="n">
        <v>558486.6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903700</v>
      </c>
      <c r="G70" s="10" t="n">
        <v>903700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2812107.84</v>
      </c>
      <c r="G78" s="10" t="n">
        <v>2812107.84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1560819</v>
      </c>
      <c r="G80" s="10" t="n">
        <v>1560819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46279</v>
      </c>
      <c r="B81" s="9" t="n">
        <v>7002</v>
      </c>
      <c r="C81" s="9" t="inlineStr">
        <is>
          <t>Фора SCP Млиново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573945</v>
      </c>
      <c r="G81" s="10" t="n">
        <v>0</v>
      </c>
      <c r="H81" s="11">
        <f>F81-G81</f>
        <v/>
      </c>
      <c r="I81" s="9" t="inlineStr">
        <is>
          <t>прострочено</t>
        </is>
      </c>
      <c r="J81" t="inlineStr">
        <is>
          <t>2026-09</t>
        </is>
      </c>
      <c r="K81" s="12" t="inlineStr"/>
    </row>
    <row r="82">
      <c r="A82" s="8" t="n">
        <v>46279</v>
      </c>
      <c r="B82" s="9" t="n">
        <v>7002</v>
      </c>
      <c r="C82" s="9" t="inlineStr">
        <is>
          <t>Фора SCP Млиново</t>
        </is>
      </c>
      <c r="D82" s="9" t="inlineStr">
        <is>
          <t>Донська</t>
        </is>
      </c>
      <c r="E82" s="9" t="inlineStr">
        <is>
          <t>Шостий платіж (Допка)</t>
        </is>
      </c>
      <c r="F82" s="10" t="n">
        <v>257000</v>
      </c>
      <c r="G82" s="10" t="n">
        <v>0</v>
      </c>
      <c r="H82" s="11">
        <f>F82-G82</f>
        <v/>
      </c>
      <c r="I82" s="9" t="inlineStr">
        <is>
          <t>прострочено</t>
        </is>
      </c>
      <c r="J82" t="inlineStr">
        <is>
          <t>2026-09</t>
        </is>
      </c>
      <c r="K82" s="12" t="inlineStr"/>
    </row>
    <row r="83">
      <c r="A83" s="8" t="n">
        <v>46280</v>
      </c>
      <c r="B83" s="9" t="n">
        <v>8898</v>
      </c>
      <c r="C83" s="9" t="inlineStr">
        <is>
          <t>Григорівка №3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188043.75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46283</v>
      </c>
      <c r="B84" s="9" t="n">
        <v>3456</v>
      </c>
      <c r="C84" s="9" t="inlineStr">
        <is>
          <t>А Підселання фундаменту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335974.68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46283</v>
      </c>
      <c r="B85" s="9" t="n">
        <v>7508</v>
      </c>
      <c r="C85" s="9" t="inlineStr">
        <is>
          <t>8602 Євген Весільна тераса Подорожнє</t>
        </is>
      </c>
      <c r="D85" s="9" t="inlineStr">
        <is>
          <t>Заянчковський</t>
        </is>
      </c>
      <c r="E85" s="9" t="inlineStr">
        <is>
          <t>Третій платіж</t>
        </is>
      </c>
      <c r="F85" s="10" t="n">
        <v>750999.9399999999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46286</v>
      </c>
      <c r="B86" s="9" t="n">
        <v>5910</v>
      </c>
      <c r="C86" s="9" t="inlineStr">
        <is>
          <t>SGM Brdovec, Хорватия</t>
        </is>
      </c>
      <c r="D86" s="9" t="inlineStr">
        <is>
          <t>Донська</t>
        </is>
      </c>
      <c r="E86" s="9" t="inlineStr">
        <is>
          <t>Другий платіж 60%</t>
        </is>
      </c>
      <c r="F86" s="10" t="n">
        <v>17257106.84</v>
      </c>
      <c r="G86" s="10" t="n">
        <v>7197634.84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>
        <is>
          <t>€334 181</t>
        </is>
      </c>
    </row>
    <row r="87">
      <c r="A87" s="8" t="n">
        <v>46286</v>
      </c>
      <c r="B87" s="9" t="n">
        <v>5910</v>
      </c>
      <c r="C87" s="9" t="inlineStr">
        <is>
          <t>SGM Brdovec, Хорватия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2876038.16</v>
      </c>
      <c r="G87" s="10" t="n">
        <v>456652.52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>
        <is>
          <t>€55 694</t>
        </is>
      </c>
    </row>
    <row r="88">
      <c r="A88" s="8" t="n">
        <v>46286</v>
      </c>
      <c r="B88" s="9" t="n">
        <v>7414</v>
      </c>
      <c r="C88" s="9" t="inlineStr">
        <is>
          <t>-26 ГШ Фундамент домобудування Володимир</t>
        </is>
      </c>
      <c r="D88" s="9" t="inlineStr">
        <is>
          <t>Заянчковський</t>
        </is>
      </c>
      <c r="E88" s="9" t="inlineStr">
        <is>
          <t>Третій платіж</t>
        </is>
      </c>
      <c r="F88" s="10" t="n">
        <v>44148.4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46293</v>
      </c>
      <c r="B89" s="9" t="n">
        <v>6352</v>
      </c>
      <c r="C89" s="9" t="inlineStr">
        <is>
          <t>АБМК SCP Blade 8PS</t>
        </is>
      </c>
      <c r="D89" s="9" t="inlineStr">
        <is>
          <t>Донська</t>
        </is>
      </c>
      <c r="E89" s="9" t="inlineStr">
        <is>
          <t>Третій платіж</t>
        </is>
      </c>
      <c r="F89" s="10" t="n">
        <v>1119237.26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46293</v>
      </c>
      <c r="B90" s="9" t="n">
        <v>6352</v>
      </c>
      <c r="C90" s="9" t="inlineStr">
        <is>
          <t>АБМК SCP Blade 8PS</t>
        </is>
      </c>
      <c r="D90" s="9" t="inlineStr">
        <is>
          <t>Донська</t>
        </is>
      </c>
      <c r="E90" s="9" t="inlineStr">
        <is>
          <t>Четвертий платіж</t>
        </is>
      </c>
      <c r="F90" s="10" t="n">
        <v>371982.96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46295</v>
      </c>
      <c r="B91" s="9" t="n">
        <v>7244</v>
      </c>
      <c r="C91" s="9" t="inlineStr">
        <is>
          <t>В Модулекс модульна будівля Чернігів</t>
        </is>
      </c>
      <c r="D91" s="9" t="inlineStr">
        <is>
          <t>Заянчковський</t>
        </is>
      </c>
      <c r="E91" s="9" t="inlineStr">
        <is>
          <t>П'ятий платіж</t>
        </is>
      </c>
      <c r="F91" s="10" t="n">
        <v>132708.6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2026-09</t>
        </is>
      </c>
      <c r="K91" s="12" t="inlineStr"/>
    </row>
    <row r="92">
      <c r="A92" s="8" t="n">
        <v>46295</v>
      </c>
      <c r="B92" s="9" t="n">
        <v>7414</v>
      </c>
      <c r="C92" s="9" t="inlineStr">
        <is>
          <t>-26 ГШ Фундамент домобудування Володимир</t>
        </is>
      </c>
      <c r="D92" s="9" t="inlineStr">
        <is>
          <t>Заянчковський</t>
        </is>
      </c>
      <c r="E92" s="9" t="inlineStr">
        <is>
          <t>Четвертий платіж</t>
        </is>
      </c>
      <c r="F92" s="10" t="n">
        <v>57497.5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2026-09</t>
        </is>
      </c>
      <c r="K92" s="12" t="inlineStr"/>
    </row>
    <row r="93">
      <c r="A93" s="8" t="n">
        <v>46297</v>
      </c>
      <c r="B93" s="9" t="n">
        <v>4766</v>
      </c>
      <c r="C93" s="9" t="inlineStr">
        <is>
          <t>ALTECO Carport Model Taurus 280кВт</t>
        </is>
      </c>
      <c r="D93" s="9" t="inlineStr">
        <is>
          <t>Заянчковський</t>
        </is>
      </c>
      <c r="E93" s="9" t="inlineStr">
        <is>
          <t>П'ятий платіж</t>
        </is>
      </c>
      <c r="F93" s="10" t="n">
        <v>1263447.42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46311</v>
      </c>
      <c r="B96" s="9" t="n">
        <v>8497</v>
      </c>
      <c r="C96" s="9" t="inlineStr">
        <is>
          <t>LSG 110MWt   50 points</t>
        </is>
      </c>
      <c r="D96" s="9" t="inlineStr">
        <is>
          <t>Іщук</t>
        </is>
      </c>
      <c r="E96" s="9" t="inlineStr">
        <is>
          <t>Другий платіж</t>
        </is>
      </c>
      <c r="F96" s="10" t="n">
        <v>520273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>
        <is>
          <t>€10 075</t>
        </is>
      </c>
    </row>
    <row r="97">
      <c r="A97" s="8" t="n">
        <v>46315</v>
      </c>
      <c r="B97" s="9" t="n">
        <v>7894</v>
      </c>
      <c r="C97" s="9" t="inlineStr">
        <is>
          <t>SCP Фора  Хотів</t>
        </is>
      </c>
      <c r="D97" s="9" t="inlineStr">
        <is>
          <t>Донська</t>
        </is>
      </c>
      <c r="E97" s="9" t="inlineStr">
        <is>
          <t>П'ятий платіж</t>
        </is>
      </c>
      <c r="F97" s="10" t="n">
        <v>737597.4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46316</v>
      </c>
      <c r="B98" s="9" t="n">
        <v>6356</v>
      </c>
      <c r="C98" s="9" t="inlineStr">
        <is>
          <t>-26 SOLAR Наземні СЕС 3 Kirill Trokhin</t>
        </is>
      </c>
      <c r="D98" s="9" t="inlineStr">
        <is>
          <t>Хома</t>
        </is>
      </c>
      <c r="E98" s="9" t="inlineStr">
        <is>
          <t>Другий платіж</t>
        </is>
      </c>
      <c r="F98" s="10" t="n">
        <v>3317353.6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€64 240</t>
        </is>
      </c>
    </row>
    <row r="99">
      <c r="A99" s="8" t="n">
        <v>46321</v>
      </c>
      <c r="B99" s="9" t="n">
        <v>6352</v>
      </c>
      <c r="C99" s="9" t="inlineStr">
        <is>
          <t>АБМК SCP Blade 8PS</t>
        </is>
      </c>
      <c r="D99" s="9" t="inlineStr">
        <is>
          <t>Донська</t>
        </is>
      </c>
      <c r="E99" s="9" t="inlineStr">
        <is>
          <t>П'ятий платіж</t>
        </is>
      </c>
      <c r="F99" s="10" t="n">
        <v>651792.28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/>
    </row>
    <row r="100">
      <c r="A100" s="8" t="n">
        <v>46322</v>
      </c>
      <c r="B100" s="9" t="n">
        <v>6356</v>
      </c>
      <c r="C100" s="9" t="inlineStr">
        <is>
          <t>-26 SOLAR Наземні СЕС 3 Kirill Trokhin</t>
        </is>
      </c>
      <c r="D100" s="9" t="inlineStr">
        <is>
          <t>Хома</t>
        </is>
      </c>
      <c r="E100" s="9" t="inlineStr">
        <is>
          <t>Третій платіж</t>
        </is>
      </c>
      <c r="F100" s="10" t="n">
        <v>663470.72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>
        <is>
          <t>€12 848</t>
        </is>
      </c>
    </row>
    <row r="101">
      <c r="E101" s="3" t="inlineStr">
        <is>
          <t>Разом</t>
        </is>
      </c>
      <c r="F101" s="13">
        <f>SUM(F2:F100)</f>
        <v/>
      </c>
      <c r="G101" s="13">
        <f>SUM(G2:G100)</f>
        <v/>
      </c>
      <c r="H101" s="13">
        <f>SUM(H2:H100)</f>
        <v/>
      </c>
    </row>
  </sheetData>
  <autoFilter ref="A1:I1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46279</v>
      </c>
      <c r="B2" s="9" t="n">
        <v>7002</v>
      </c>
      <c r="C2" s="9" t="inlineStr">
        <is>
          <t>Фора SCP Млиново</t>
        </is>
      </c>
      <c r="D2" s="9" t="inlineStr">
        <is>
          <t>П'ятий платіж</t>
        </is>
      </c>
      <c r="E2" s="11" t="n">
        <v>573945</v>
      </c>
      <c r="F2" s="11" t="n">
        <v>0</v>
      </c>
      <c r="G2" s="11">
        <f>E2-F2</f>
        <v/>
      </c>
    </row>
    <row r="3">
      <c r="A3" s="8" t="n">
        <v>46279</v>
      </c>
      <c r="B3" s="9" t="n">
        <v>7002</v>
      </c>
      <c r="C3" s="9" t="inlineStr">
        <is>
          <t>Фора SCP Млиново</t>
        </is>
      </c>
      <c r="D3" s="9" t="inlineStr">
        <is>
          <t>Шостий платіж (Допка)</t>
        </is>
      </c>
      <c r="E3" s="11" t="n">
        <v>257000</v>
      </c>
      <c r="F3" s="11" t="n">
        <v>0</v>
      </c>
      <c r="G3" s="11">
        <f>E3-F3</f>
        <v/>
      </c>
    </row>
    <row r="4">
      <c r="A4" s="8" t="n">
        <v>46260</v>
      </c>
      <c r="B4" s="9" t="n">
        <v>6406</v>
      </c>
      <c r="C4" s="9" t="inlineStr">
        <is>
          <t>Максим Яловий Чинадієво</t>
        </is>
      </c>
      <c r="D4" s="9" t="inlineStr">
        <is>
          <t>Другий платіж</t>
        </is>
      </c>
      <c r="E4" s="11" t="n">
        <v>218602</v>
      </c>
      <c r="F4" s="11" t="n">
        <v>170788</v>
      </c>
      <c r="G4" s="11">
        <f>E4-F4</f>
        <v/>
      </c>
    </row>
    <row r="5">
      <c r="D5" s="3" t="inlineStr">
        <is>
          <t>Разом</t>
        </is>
      </c>
      <c r="E5" s="13">
        <f>SUM(E2:E4)</f>
        <v/>
      </c>
      <c r="F5" s="13">
        <f>SUM(F2:F4)</f>
        <v/>
      </c>
      <c r="G5" s="13">
        <f>SUM(G2:G4)</f>
        <v/>
      </c>
    </row>
  </sheetData>
  <autoFilter ref="A1:G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2026-09-14T04:05:53Z</dcterms:created>
  <dcterms:modified xmlns:dcterms="http://purl.org/dc/terms/" xmlns:xsi="http://www.w3.org/2001/XMLSchema-instance" xsi:type="dcterms:W3CDTF">2026-09-14T04:05:53Z</dcterms:modified>
</cp:coreProperties>
</file>