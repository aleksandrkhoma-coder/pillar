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надходжень'!$A$1:$I$85</definedName>
    <definedName name="_xlnm._FilterDatabase" localSheetId="3" hidden="1">'Прострочені'!$A$1:$G$5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05.08.2026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46133</v>
      </c>
      <c r="B4" s="9" t="n">
        <v>7244</v>
      </c>
      <c r="C4" s="9" t="inlineStr">
        <is>
          <t>В Модулекс модульна будівля Чернігів</t>
        </is>
      </c>
      <c r="D4" s="9" t="inlineStr">
        <is>
          <t>Заянчковський</t>
        </is>
      </c>
      <c r="E4" s="9" t="inlineStr">
        <is>
          <t>Авансовий платіж</t>
        </is>
      </c>
      <c r="F4" s="10" t="n">
        <v>77600</v>
      </c>
      <c r="G4" s="10" t="n">
        <v>77600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46139</v>
      </c>
      <c r="B5" s="9" t="n">
        <v>7536</v>
      </c>
      <c r="C5" s="9" t="inlineStr">
        <is>
          <t>А Ранчо “Едельвейс”  AGM  171PV</t>
        </is>
      </c>
      <c r="D5" s="9" t="inlineStr">
        <is>
          <t>Іщук</t>
        </is>
      </c>
      <c r="E5" s="9" t="inlineStr">
        <is>
          <t>Авансовий платіж</t>
        </is>
      </c>
      <c r="F5" s="10" t="n">
        <v>244374</v>
      </c>
      <c r="G5" s="10" t="n">
        <v>244374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46147</v>
      </c>
      <c r="B6" s="9" t="n">
        <v>3456</v>
      </c>
      <c r="C6" s="9" t="inlineStr">
        <is>
          <t>А Підселання фундаменту</t>
        </is>
      </c>
      <c r="D6" s="9" t="inlineStr">
        <is>
          <t>Донська</t>
        </is>
      </c>
      <c r="E6" s="9" t="inlineStr">
        <is>
          <t>Авансовий платіж</t>
        </is>
      </c>
      <c r="F6" s="10" t="n">
        <v>421968</v>
      </c>
      <c r="G6" s="10" t="n">
        <v>421968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46149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46154</v>
      </c>
      <c r="B8" s="9" t="n">
        <v>8360</v>
      </c>
      <c r="C8" s="9" t="inlineStr">
        <is>
          <t>Хаджет Лебедівка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231000</v>
      </c>
      <c r="G8" s="10" t="n">
        <v>231000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46157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46160</v>
      </c>
      <c r="B10" s="9" t="n">
        <v>8008</v>
      </c>
      <c r="C10" s="9" t="inlineStr">
        <is>
          <t>Модулі Григорівка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430850.64</v>
      </c>
      <c r="G10" s="10" t="n">
        <v>430850.64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46161</v>
      </c>
      <c r="B11" s="9" t="n">
        <v>5870</v>
      </c>
      <c r="C11" s="9" t="inlineStr">
        <is>
          <t>Carport Airport Munich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2611641.36</v>
      </c>
      <c r="G11" s="10" t="n">
        <v>2611641.36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€50 574</t>
        </is>
      </c>
    </row>
    <row r="12">
      <c r="A12" s="8" t="n">
        <v>46161</v>
      </c>
      <c r="B12" s="9" t="n">
        <v>6704</v>
      </c>
      <c r="C12" s="9" t="inlineStr">
        <is>
          <t>SCP Taurus 236PS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5308592</v>
      </c>
      <c r="G12" s="10" t="n">
        <v>5308592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>
        <is>
          <t>€102 800</t>
        </is>
      </c>
    </row>
    <row r="13">
      <c r="A13" s="8" t="n">
        <v>46161</v>
      </c>
      <c r="B13" s="9" t="n">
        <v>7002</v>
      </c>
      <c r="C13" s="9" t="inlineStr">
        <is>
          <t>Фора SCP Млиново</t>
        </is>
      </c>
      <c r="D13" s="9" t="inlineStr">
        <is>
          <t>Донська</t>
        </is>
      </c>
      <c r="E13" s="9" t="inlineStr">
        <is>
          <t>Авансовий платіж</t>
        </is>
      </c>
      <c r="F13" s="10" t="n">
        <v>1015173.12</v>
      </c>
      <c r="G13" s="10" t="n">
        <v>1015173.12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46161</v>
      </c>
      <c r="B14" s="9" t="n">
        <v>8438</v>
      </c>
      <c r="C14" s="9" t="inlineStr">
        <is>
          <t>GS</t>
        </is>
      </c>
      <c r="D14" s="9" t="inlineStr">
        <is>
          <t>Александров</t>
        </is>
      </c>
      <c r="E14" s="9" t="inlineStr">
        <is>
          <t>Авансовий платіж</t>
        </is>
      </c>
      <c r="F14" s="10" t="n">
        <v>758160</v>
      </c>
      <c r="G14" s="10" t="n">
        <v>758160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46162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46164</v>
      </c>
      <c r="B16" s="9" t="n">
        <v>8238</v>
      </c>
      <c r="C16" s="9" t="inlineStr">
        <is>
          <t>А UTEM SOLAR  SCP Taurus 190PV</t>
        </is>
      </c>
      <c r="D16" s="9" t="inlineStr">
        <is>
          <t>Іщук</t>
        </is>
      </c>
      <c r="E16" s="9" t="inlineStr">
        <is>
          <t>Авансовий платіж</t>
        </is>
      </c>
      <c r="F16" s="10" t="n">
        <v>2011000</v>
      </c>
      <c r="G16" s="10" t="n">
        <v>2011000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46165</v>
      </c>
      <c r="B17" s="9" t="n">
        <v>6704</v>
      </c>
      <c r="C17" s="9" t="inlineStr">
        <is>
          <t>SCP Taurus 236PS</t>
        </is>
      </c>
      <c r="D17" s="9" t="inlineStr">
        <is>
          <t>Хома</t>
        </is>
      </c>
      <c r="E17" s="9" t="inlineStr">
        <is>
          <t>Третій платіж</t>
        </is>
      </c>
      <c r="F17" s="10" t="n">
        <v>4618423.4</v>
      </c>
      <c r="G17" s="10" t="n">
        <v>0</v>
      </c>
      <c r="H17" s="11">
        <f>F17-G17</f>
        <v/>
      </c>
      <c r="I17" s="9" t="inlineStr">
        <is>
          <t>прострочено</t>
        </is>
      </c>
      <c r="J17" t="inlineStr">
        <is>
          <t>2026-05</t>
        </is>
      </c>
      <c r="K17" s="12" t="inlineStr">
        <is>
          <t>€89 435</t>
        </is>
      </c>
    </row>
    <row r="18">
      <c r="A18" s="8" t="n">
        <v>46166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46167</v>
      </c>
      <c r="B19" s="9" t="n">
        <v>7508</v>
      </c>
      <c r="C19" s="9" t="inlineStr">
        <is>
          <t>8602 Євген Весільна тераса Подорожнє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1245999.94</v>
      </c>
      <c r="G19" s="10" t="n">
        <v>1245999.94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46168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Другий платіж</t>
        </is>
      </c>
      <c r="F20" s="10" t="n">
        <v>751000.0600000001</v>
      </c>
      <c r="G20" s="10" t="n">
        <v>751000.0600000001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8140</v>
      </c>
      <c r="C21" s="9" t="inlineStr">
        <is>
          <t>В Газинвестпроект фундамент Киев</t>
        </is>
      </c>
      <c r="D21" s="9" t="inlineStr">
        <is>
          <t>Заянчковський</t>
        </is>
      </c>
      <c r="E21" s="9" t="inlineStr">
        <is>
          <t>Авансовий платіж</t>
        </is>
      </c>
      <c r="F21" s="10" t="n">
        <v>150000</v>
      </c>
      <c r="G21" s="10" t="n">
        <v>150000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SCP Фора  Хотів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46184</v>
      </c>
      <c r="B32" s="9" t="n">
        <v>3456</v>
      </c>
      <c r="C32" s="9" t="inlineStr">
        <is>
          <t>А Підселання фундаменту</t>
        </is>
      </c>
      <c r="D32" s="9" t="inlineStr">
        <is>
          <t>Донська</t>
        </is>
      </c>
      <c r="E32" s="9" t="inlineStr">
        <is>
          <t>Другий платіж</t>
        </is>
      </c>
      <c r="F32" s="10" t="n">
        <v>783940.92</v>
      </c>
      <c r="G32" s="10" t="n">
        <v>783940.92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8360</v>
      </c>
      <c r="C33" s="9" t="inlineStr">
        <is>
          <t>Хаджет Лебедівка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95968.3</v>
      </c>
      <c r="G33" s="10" t="n">
        <v>95968.3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46185</v>
      </c>
      <c r="B34" s="9" t="n">
        <v>7474</v>
      </c>
      <c r="C34" s="9" t="inlineStr">
        <is>
          <t>А Головне управління Національної поліції в Одеській області  SCP  15PS</t>
        </is>
      </c>
      <c r="D34" s="9" t="inlineStr">
        <is>
          <t>Іщук</t>
        </is>
      </c>
      <c r="E34" s="9" t="inlineStr">
        <is>
          <t>П'ятий платіж</t>
        </is>
      </c>
      <c r="F34" s="10" t="n">
        <v>1749999</v>
      </c>
      <c r="G34" s="10" t="n">
        <v>1749999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46187</v>
      </c>
      <c r="B35" s="9" t="n">
        <v>8140</v>
      </c>
      <c r="C35" s="9" t="inlineStr">
        <is>
          <t>В Газинвестпроект фундамент Киев</t>
        </is>
      </c>
      <c r="D35" s="9" t="inlineStr">
        <is>
          <t>Заянчковський</t>
        </is>
      </c>
      <c r="E35" s="9" t="inlineStr">
        <is>
          <t>Другий платіж</t>
        </is>
      </c>
      <c r="F35" s="10" t="n">
        <v>86041.2</v>
      </c>
      <c r="G35" s="10" t="n">
        <v>86041.2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1910834.92</v>
      </c>
      <c r="G42" s="10" t="n">
        <v>1910834.92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>
        <is>
          <t>€37 003</t>
        </is>
      </c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7834872.44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>
        <is>
          <t>€151 721</t>
        </is>
      </c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46213</v>
      </c>
      <c r="B47" s="9" t="n">
        <v>8454</v>
      </c>
      <c r="C47" s="9" t="inlineStr">
        <is>
          <t>Олександр каркасний Верховина</t>
        </is>
      </c>
      <c r="D47" s="9" t="inlineStr">
        <is>
          <t>Донська</t>
        </is>
      </c>
      <c r="E47" s="9" t="inlineStr">
        <is>
          <t>Третій платіж</t>
        </is>
      </c>
      <c r="F47" s="10" t="n">
        <v>69666</v>
      </c>
      <c r="G47" s="10" t="n">
        <v>69666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46216</v>
      </c>
      <c r="B48" s="9" t="n">
        <v>8496</v>
      </c>
      <c r="C48" s="9" t="inlineStr">
        <is>
          <t>А Greensource  SGM  110MWp</t>
        </is>
      </c>
      <c r="D48" s="9" t="inlineStr">
        <is>
          <t>Іщук</t>
        </is>
      </c>
      <c r="E48" s="9" t="inlineStr">
        <is>
          <t>Авансовий платіж</t>
        </is>
      </c>
      <c r="F48" s="10" t="n">
        <v>454432</v>
      </c>
      <c r="G48" s="10" t="n">
        <v>454432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>
        <is>
          <t>€8 800</t>
        </is>
      </c>
    </row>
    <row r="49">
      <c r="A49" s="8" t="n">
        <v>46216</v>
      </c>
      <c r="B49" s="9" t="n">
        <v>8898</v>
      </c>
      <c r="C49" s="9" t="inlineStr">
        <is>
          <t>Григорівка №3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290403.65</v>
      </c>
      <c r="G49" s="10" t="n">
        <v>290403.65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46217</v>
      </c>
      <c r="B50" s="9" t="n">
        <v>4766</v>
      </c>
      <c r="C50" s="9" t="inlineStr">
        <is>
          <t>ALTECO Carport Model Taurus 280кВт</t>
        </is>
      </c>
      <c r="D50" s="9" t="inlineStr">
        <is>
          <t>Заянчковський</t>
        </is>
      </c>
      <c r="E50" s="9" t="inlineStr">
        <is>
          <t>Другий платіж</t>
        </is>
      </c>
      <c r="F50" s="10" t="n">
        <v>100000</v>
      </c>
      <c r="G50" s="10" t="n">
        <v>100000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46217</v>
      </c>
      <c r="B51" s="9" t="n">
        <v>8185</v>
      </c>
      <c r="C51" s="9" t="inlineStr">
        <is>
          <t>Фундамент Hytte House Development Славське</t>
        </is>
      </c>
      <c r="D51" s="9" t="inlineStr">
        <is>
          <t>Донська</t>
        </is>
      </c>
      <c r="E51" s="9" t="inlineStr">
        <is>
          <t>Другий платіж</t>
        </is>
      </c>
      <c r="F51" s="10" t="n">
        <v>63313.4</v>
      </c>
      <c r="G51" s="10" t="n">
        <v>63313.4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Третій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46219</v>
      </c>
      <c r="B53" s="9" t="n">
        <v>6352</v>
      </c>
      <c r="C53" s="9" t="inlineStr">
        <is>
          <t>АБМК SCP Blade 8PS</t>
        </is>
      </c>
      <c r="D53" s="9" t="inlineStr">
        <is>
          <t>Донська</t>
        </is>
      </c>
      <c r="E53" s="9" t="inlineStr">
        <is>
          <t>Авансовий платіж</t>
        </is>
      </c>
      <c r="F53" s="10" t="n">
        <v>80000.03999999999</v>
      </c>
      <c r="G53" s="10" t="n">
        <v>80000.03999999999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7002</v>
      </c>
      <c r="C54" s="9" t="inlineStr">
        <is>
          <t>Фора SCP Млиново</t>
        </is>
      </c>
      <c r="D54" s="9" t="inlineStr">
        <is>
          <t>Донська</t>
        </is>
      </c>
      <c r="E54" s="9" t="inlineStr">
        <is>
          <t>Другий платіж</t>
        </is>
      </c>
      <c r="F54" s="10" t="n">
        <v>126896.64</v>
      </c>
      <c r="G54" s="10" t="n">
        <v>126896.64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Фора SCP Млиново</t>
        </is>
      </c>
      <c r="D55" s="9" t="inlineStr">
        <is>
          <t>Донська</t>
        </is>
      </c>
      <c r="E55" s="9" t="inlineStr">
        <is>
          <t>Третій платіж</t>
        </is>
      </c>
      <c r="F55" s="10" t="n">
        <v>126896.64</v>
      </c>
      <c r="G55" s="10" t="n">
        <v>126896.64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46219</v>
      </c>
      <c r="B56" s="9" t="n">
        <v>7002</v>
      </c>
      <c r="C56" s="9" t="inlineStr">
        <is>
          <t>Фора SCP Млиново</t>
        </is>
      </c>
      <c r="D56" s="9" t="inlineStr">
        <is>
          <t>Донська</t>
        </is>
      </c>
      <c r="E56" s="9" t="inlineStr">
        <is>
          <t>Четвертий платіж</t>
        </is>
      </c>
      <c r="F56" s="10" t="n">
        <v>573945</v>
      </c>
      <c r="G56" s="10" t="n">
        <v>573945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46224</v>
      </c>
      <c r="B57" s="9" t="n">
        <v>4766</v>
      </c>
      <c r="C57" s="9" t="inlineStr">
        <is>
          <t>ALTECO Carport Model Taurus 280кВт</t>
        </is>
      </c>
      <c r="D57" s="9" t="inlineStr">
        <is>
          <t>Заянчковський</t>
        </is>
      </c>
      <c r="E57" s="9" t="inlineStr">
        <is>
          <t>Третій платіж</t>
        </is>
      </c>
      <c r="F57" s="10" t="n">
        <v>4368478.98</v>
      </c>
      <c r="G57" s="10" t="n">
        <v>4368478.98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/>
    </row>
    <row r="58">
      <c r="A58" s="8" t="n">
        <v>46225</v>
      </c>
      <c r="B58" s="9" t="n">
        <v>5910</v>
      </c>
      <c r="C58" s="9" t="inlineStr">
        <is>
          <t>SGM Brdovec, Хорватия</t>
        </is>
      </c>
      <c r="D58" s="9" t="inlineStr">
        <is>
          <t>Донська</t>
        </is>
      </c>
      <c r="E58" s="9" t="inlineStr">
        <is>
          <t>Авансовий платіж</t>
        </is>
      </c>
      <c r="F58" s="10" t="n">
        <v>8628527.6</v>
      </c>
      <c r="G58" s="10" t="n">
        <v>8628527.6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>
        <is>
          <t>€167 090</t>
        </is>
      </c>
    </row>
    <row r="59">
      <c r="A59" s="8" t="n">
        <v>46230</v>
      </c>
      <c r="B59" s="9" t="n">
        <v>6312</v>
      </c>
      <c r="C59" s="9" t="inlineStr">
        <is>
          <t>-26 ГШ Фундамент домобудування Георгій</t>
        </is>
      </c>
      <c r="D59" s="9" t="inlineStr">
        <is>
          <t>Заянчковський</t>
        </is>
      </c>
      <c r="E59" s="9" t="inlineStr">
        <is>
          <t>Авансовий платіж</t>
        </is>
      </c>
      <c r="F59" s="10" t="n">
        <v>543429</v>
      </c>
      <c r="G59" s="10" t="n">
        <v>543429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46231</v>
      </c>
      <c r="B60" s="9" t="n">
        <v>6130</v>
      </c>
      <c r="C60" s="9" t="inlineStr">
        <is>
          <t>-26 ГШ Фундамент домобудування Євро Простір Марія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56056</v>
      </c>
      <c r="G60" s="10" t="n">
        <v>56056</v>
      </c>
      <c r="H60" s="11">
        <f>F60-G60</f>
        <v/>
      </c>
      <c r="I60" s="9" t="inlineStr">
        <is>
          <t>отримано</t>
        </is>
      </c>
      <c r="J60" t="inlineStr">
        <is>
          <t>2026-07</t>
        </is>
      </c>
      <c r="K60" s="12" t="inlineStr"/>
    </row>
    <row r="61">
      <c r="A61" s="8" t="n">
        <v>46232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Другий платіж</t>
        </is>
      </c>
      <c r="F61" s="10" t="n">
        <v>50964</v>
      </c>
      <c r="G61" s="10" t="n">
        <v>50964</v>
      </c>
      <c r="H61" s="11">
        <f>F61-G61</f>
        <v/>
      </c>
      <c r="I61" s="9" t="inlineStr">
        <is>
          <t>отримано</t>
        </is>
      </c>
      <c r="J61" t="inlineStr">
        <is>
          <t>2026-07</t>
        </is>
      </c>
      <c r="K61" s="12" t="inlineStr"/>
    </row>
    <row r="62">
      <c r="A62" s="8" t="n">
        <v>46234</v>
      </c>
      <c r="B62" s="9" t="n">
        <v>6130</v>
      </c>
      <c r="C62" s="9" t="inlineStr">
        <is>
          <t>-26 ГШ Фундамент домобудування Євро Простір Марія</t>
        </is>
      </c>
      <c r="D62" s="9" t="inlineStr">
        <is>
          <t>Заянчковський</t>
        </is>
      </c>
      <c r="E62" s="9" t="inlineStr">
        <is>
          <t>Третій платіж</t>
        </is>
      </c>
      <c r="F62" s="10" t="n">
        <v>75762</v>
      </c>
      <c r="G62" s="10" t="n">
        <v>75762</v>
      </c>
      <c r="H62" s="11">
        <f>F62-G62</f>
        <v/>
      </c>
      <c r="I62" s="9" t="inlineStr">
        <is>
          <t>отримано</t>
        </is>
      </c>
      <c r="J62" t="inlineStr">
        <is>
          <t>2026-07</t>
        </is>
      </c>
      <c r="K62" s="12" t="inlineStr"/>
    </row>
    <row r="63">
      <c r="A63" s="8" t="n">
        <v>46234</v>
      </c>
      <c r="B63" s="9" t="n">
        <v>7068</v>
      </c>
      <c r="C63" s="9" t="inlineStr">
        <is>
          <t>А Remtec energy  AGM  160 TP</t>
        </is>
      </c>
      <c r="D63" s="9" t="inlineStr">
        <is>
          <t>Александров</t>
        </is>
      </c>
      <c r="E63" s="9" t="inlineStr">
        <is>
          <t>Третій платіж</t>
        </is>
      </c>
      <c r="F63" s="10" t="n">
        <v>0</v>
      </c>
      <c r="G63" s="10" t="n">
        <v>2794670</v>
      </c>
      <c r="H63" s="11">
        <f>F63-G63</f>
        <v/>
      </c>
      <c r="I63" s="9" t="inlineStr">
        <is>
          <t>очікується</t>
        </is>
      </c>
      <c r="J63" t="inlineStr">
        <is>
          <t>2026-07</t>
        </is>
      </c>
      <c r="K63" s="12" t="inlineStr"/>
    </row>
    <row r="64">
      <c r="A64" s="8" t="n">
        <v>46237</v>
      </c>
      <c r="B64" s="9" t="n">
        <v>6130</v>
      </c>
      <c r="C64" s="9" t="inlineStr">
        <is>
          <t>-26 ГШ Фундамент домобудування Євро Простір Марія</t>
        </is>
      </c>
      <c r="D64" s="9" t="inlineStr">
        <is>
          <t>Заянчковський</t>
        </is>
      </c>
      <c r="E64" s="9" t="inlineStr">
        <is>
          <t>Четвертий платіж</t>
        </is>
      </c>
      <c r="F64" s="10" t="n">
        <v>36665</v>
      </c>
      <c r="G64" s="10" t="n">
        <v>36665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46237</v>
      </c>
      <c r="B65" s="9" t="n">
        <v>6352</v>
      </c>
      <c r="C65" s="9" t="inlineStr">
        <is>
          <t>АБМК SCP Blade 8PS</t>
        </is>
      </c>
      <c r="D65" s="9" t="inlineStr">
        <is>
          <t>Донська</t>
        </is>
      </c>
      <c r="E65" s="9" t="inlineStr">
        <is>
          <t>Другий платіж</t>
        </is>
      </c>
      <c r="F65" s="10" t="n">
        <v>1399046.58</v>
      </c>
      <c r="G65" s="10" t="n">
        <v>1399046.58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46238</v>
      </c>
      <c r="B66" s="9" t="n">
        <v>8188</v>
      </c>
      <c r="C66" s="9" t="inlineStr">
        <is>
          <t>Фундамент Ужгород Стефанія</t>
        </is>
      </c>
      <c r="D66" s="9" t="inlineStr">
        <is>
          <t>Іщук</t>
        </is>
      </c>
      <c r="E66" s="9" t="inlineStr">
        <is>
          <t>Другий платіж</t>
        </is>
      </c>
      <c r="F66" s="10" t="n">
        <v>73926</v>
      </c>
      <c r="G66" s="10" t="n">
        <v>0</v>
      </c>
      <c r="H66" s="11">
        <f>F66-G66</f>
        <v/>
      </c>
      <c r="I66" s="9" t="inlineStr">
        <is>
          <t>прострочено</t>
        </is>
      </c>
      <c r="J66" t="inlineStr">
        <is>
          <t>2026-08</t>
        </is>
      </c>
      <c r="K66" s="12" t="inlineStr"/>
    </row>
    <row r="67">
      <c r="A67" s="8" t="n">
        <v>46241</v>
      </c>
      <c r="B67" s="9" t="n">
        <v>4766</v>
      </c>
      <c r="C67" s="9" t="inlineStr">
        <is>
          <t>ALTECO Carport Model Taurus 280кВт</t>
        </is>
      </c>
      <c r="D67" s="9" t="inlineStr">
        <is>
          <t>Заянчковський</t>
        </is>
      </c>
      <c r="E67" s="9" t="inlineStr">
        <is>
          <t>Четвертий платіж</t>
        </is>
      </c>
      <c r="F67" s="10" t="n">
        <v>64050</v>
      </c>
      <c r="G67" s="10" t="n">
        <v>64050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/>
    </row>
    <row r="68">
      <c r="A68" s="8" t="n">
        <v>46244</v>
      </c>
      <c r="B68" s="9" t="n">
        <v>7894</v>
      </c>
      <c r="C68" s="9" t="inlineStr">
        <is>
          <t>SCP Фора  Хотів</t>
        </is>
      </c>
      <c r="D68" s="9" t="inlineStr">
        <is>
          <t>Донська</t>
        </is>
      </c>
      <c r="E68" s="9" t="inlineStr">
        <is>
          <t>Другий платіж</t>
        </is>
      </c>
      <c r="F68" s="10" t="n">
        <v>185968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/>
    </row>
    <row r="69">
      <c r="A69" s="8" t="n">
        <v>46244</v>
      </c>
      <c r="B69" s="9" t="n">
        <v>8878</v>
      </c>
      <c r="C69" s="9" t="inlineStr">
        <is>
          <t>А ТОВ КОМПАНІЯ ВОЛЬТ СЕРВІС ГРУП</t>
        </is>
      </c>
      <c r="D69" s="9" t="inlineStr">
        <is>
          <t>Заянчковський</t>
        </is>
      </c>
      <c r="E69" s="9" t="inlineStr">
        <is>
          <t>П'ятий платіж</t>
        </is>
      </c>
      <c r="F69" s="10" t="n">
        <v>12823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46245</v>
      </c>
      <c r="B70" s="9" t="n">
        <v>7894</v>
      </c>
      <c r="C70" s="9" t="inlineStr">
        <is>
          <t>SCP Фора  Хотів</t>
        </is>
      </c>
      <c r="D70" s="9" t="inlineStr">
        <is>
          <t>Донська</t>
        </is>
      </c>
      <c r="E70" s="9" t="inlineStr">
        <is>
          <t>Третій платіж</t>
        </is>
      </c>
      <c r="F70" s="10" t="n">
        <v>185967.99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/>
    </row>
    <row r="71">
      <c r="A71" s="8" t="n">
        <v>46247</v>
      </c>
      <c r="B71" s="9" t="n">
        <v>6406</v>
      </c>
      <c r="C71" s="9" t="inlineStr">
        <is>
          <t>Максим Яловий Чинадієво</t>
        </is>
      </c>
      <c r="D71" s="9" t="inlineStr">
        <is>
          <t>Іщук</t>
        </is>
      </c>
      <c r="E71" s="9" t="inlineStr">
        <is>
          <t>Другий платіж</t>
        </is>
      </c>
      <c r="F71" s="10" t="n">
        <v>218602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/>
    </row>
    <row r="72">
      <c r="A72" s="8" t="n">
        <v>46248</v>
      </c>
      <c r="B72" s="9" t="n">
        <v>8898</v>
      </c>
      <c r="C72" s="9" t="inlineStr">
        <is>
          <t>Григорівка №3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188043.75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46258</v>
      </c>
      <c r="B73" s="9" t="n">
        <v>3456</v>
      </c>
      <c r="C73" s="9" t="inlineStr">
        <is>
          <t>А Підселання фундаменту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335974.68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/>
    </row>
    <row r="74">
      <c r="A74" s="8" t="n">
        <v>46258</v>
      </c>
      <c r="B74" s="9" t="n">
        <v>5910</v>
      </c>
      <c r="C74" s="9" t="inlineStr">
        <is>
          <t>SGM Brdovec, Хорватия</t>
        </is>
      </c>
      <c r="D74" s="9" t="inlineStr">
        <is>
          <t>Донська</t>
        </is>
      </c>
      <c r="E74" s="9" t="inlineStr">
        <is>
          <t>Другий платіж 60%</t>
        </is>
      </c>
      <c r="F74" s="10" t="n">
        <v>17257106.84</v>
      </c>
      <c r="G74" s="10" t="n">
        <v>2965168.8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>
        <is>
          <t>€334 181</t>
        </is>
      </c>
    </row>
    <row r="75">
      <c r="A75" s="8" t="n">
        <v>46258</v>
      </c>
      <c r="B75" s="9" t="n">
        <v>6352</v>
      </c>
      <c r="C75" s="9" t="inlineStr">
        <is>
          <t>АБМК SCP Blade 8PS</t>
        </is>
      </c>
      <c r="D75" s="9" t="inlineStr">
        <is>
          <t>Донська</t>
        </is>
      </c>
      <c r="E75" s="9" t="inlineStr">
        <is>
          <t>Третій платіж</t>
        </is>
      </c>
      <c r="F75" s="10" t="n">
        <v>1119237.26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46263</v>
      </c>
      <c r="B76" s="9" t="n">
        <v>7002</v>
      </c>
      <c r="C76" s="9" t="inlineStr">
        <is>
          <t>Фора SCP Млиново</t>
        </is>
      </c>
      <c r="D76" s="9" t="inlineStr">
        <is>
          <t>Донська</t>
        </is>
      </c>
      <c r="E76" s="9" t="inlineStr">
        <is>
          <t>П'ятий платіж</t>
        </is>
      </c>
      <c r="F76" s="10" t="n">
        <v>573945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6130</v>
      </c>
      <c r="C77" s="9" t="inlineStr">
        <is>
          <t>-26 ГШ Фундамент домобудування Євро Простір Марія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73335</v>
      </c>
      <c r="G77" s="10" t="n">
        <v>36665</v>
      </c>
      <c r="H77" s="11">
        <f>F77-G77</f>
        <v/>
      </c>
      <c r="I77" s="9" t="inlineStr">
        <is>
          <t>очікується</t>
        </is>
      </c>
      <c r="J77" t="inlineStr">
        <is>
          <t>2026-08</t>
        </is>
      </c>
      <c r="K77" s="12" t="inlineStr"/>
    </row>
    <row r="78">
      <c r="A78" s="8" t="n">
        <v>46265</v>
      </c>
      <c r="B78" s="9" t="n">
        <v>7244</v>
      </c>
      <c r="C78" s="9" t="inlineStr">
        <is>
          <t>В Модулекс модульна будівля Чернігів</t>
        </is>
      </c>
      <c r="D78" s="9" t="inlineStr">
        <is>
          <t>Заянчковський</t>
        </is>
      </c>
      <c r="E78" s="9" t="inlineStr">
        <is>
          <t>П'ятий платіж</t>
        </is>
      </c>
      <c r="F78" s="10" t="n">
        <v>132708.6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2026-08</t>
        </is>
      </c>
      <c r="K78" s="12" t="inlineStr"/>
    </row>
    <row r="79">
      <c r="A79" s="8" t="n">
        <v>46267</v>
      </c>
      <c r="B79" s="9" t="n">
        <v>4766</v>
      </c>
      <c r="C79" s="9" t="inlineStr">
        <is>
          <t>ALTECO Carport Model Taurus 280кВт</t>
        </is>
      </c>
      <c r="D79" s="9" t="inlineStr">
        <is>
          <t>Заянчковський</t>
        </is>
      </c>
      <c r="E79" s="9" t="inlineStr">
        <is>
          <t>П'ятий платіж</t>
        </is>
      </c>
      <c r="F79" s="10" t="n">
        <v>1263447.42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46267</v>
      </c>
      <c r="B80" s="9" t="n">
        <v>5910</v>
      </c>
      <c r="C80" s="9" t="inlineStr">
        <is>
          <t>SGM Brdovec, Хорватия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2876038.16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>
        <is>
          <t>€55 694</t>
        </is>
      </c>
    </row>
    <row r="81">
      <c r="A81" s="8" t="n">
        <v>46280</v>
      </c>
      <c r="B81" s="9" t="n">
        <v>8898</v>
      </c>
      <c r="C81" s="9" t="inlineStr">
        <is>
          <t>Григорівка №3</t>
        </is>
      </c>
      <c r="D81" s="9" t="inlineStr">
        <is>
          <t>Донська</t>
        </is>
      </c>
      <c r="E81" s="9" t="inlineStr">
        <is>
          <t>Третій платіж</t>
        </is>
      </c>
      <c r="F81" s="10" t="n">
        <v>188043.75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46282</v>
      </c>
      <c r="B82" s="9" t="n">
        <v>7894</v>
      </c>
      <c r="C82" s="9" t="inlineStr">
        <is>
          <t>SCP Фора  Хотів</t>
        </is>
      </c>
      <c r="D82" s="9" t="inlineStr">
        <is>
          <t>Донська</t>
        </is>
      </c>
      <c r="E82" s="9" t="inlineStr">
        <is>
          <t>П'ятий платіж</t>
        </is>
      </c>
      <c r="F82" s="10" t="n">
        <v>737597.4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46283</v>
      </c>
      <c r="B83" s="9" t="n">
        <v>7508</v>
      </c>
      <c r="C83" s="9" t="inlineStr">
        <is>
          <t>8602 Євген Весільна тераса Подорожнє</t>
        </is>
      </c>
      <c r="D83" s="9" t="inlineStr">
        <is>
          <t>Заянчковський</t>
        </is>
      </c>
      <c r="E83" s="9" t="inlineStr">
        <is>
          <t>Третій платіж</t>
        </is>
      </c>
      <c r="F83" s="10" t="n">
        <v>750999.9399999999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46308</v>
      </c>
      <c r="B84" s="9" t="n">
        <v>6352</v>
      </c>
      <c r="C84" s="9" t="inlineStr">
        <is>
          <t>АБМК SCP Blade 8PS</t>
        </is>
      </c>
      <c r="D84" s="9" t="inlineStr">
        <is>
          <t>Донська</t>
        </is>
      </c>
      <c r="E84" s="9" t="inlineStr">
        <is>
          <t>Четвертий платіж</t>
        </is>
      </c>
      <c r="F84" s="10" t="n">
        <v>371982.96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2026-10</t>
        </is>
      </c>
      <c r="K84" s="12" t="inlineStr"/>
    </row>
    <row r="85">
      <c r="A85" s="8" t="n">
        <v>46321</v>
      </c>
      <c r="B85" s="9" t="n">
        <v>6352</v>
      </c>
      <c r="C85" s="9" t="inlineStr">
        <is>
          <t>АБМК SCP Blade 8PS</t>
        </is>
      </c>
      <c r="D85" s="9" t="inlineStr">
        <is>
          <t>Донська</t>
        </is>
      </c>
      <c r="E85" s="9" t="inlineStr">
        <is>
          <t>П'ятий платіж</t>
        </is>
      </c>
      <c r="F85" s="10" t="n">
        <v>651792.28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2026-10</t>
        </is>
      </c>
      <c r="K85" s="12" t="inlineStr"/>
    </row>
    <row r="86">
      <c r="E86" s="3" t="inlineStr">
        <is>
          <t>Разом</t>
        </is>
      </c>
      <c r="F86" s="13">
        <f>SUM(F2:F85)</f>
        <v/>
      </c>
      <c r="G86" s="13">
        <f>SUM(G2:G85)</f>
        <v/>
      </c>
      <c r="H86" s="13">
        <f>SUM(H2:H85)</f>
        <v/>
      </c>
    </row>
  </sheetData>
  <autoFilter ref="A1:I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46203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7834872.44</v>
      </c>
      <c r="F2" s="11" t="n">
        <v>0</v>
      </c>
      <c r="G2" s="11">
        <f>E2-F2</f>
        <v/>
      </c>
    </row>
    <row r="3">
      <c r="A3" s="8" t="n">
        <v>46165</v>
      </c>
      <c r="B3" s="9" t="n">
        <v>6704</v>
      </c>
      <c r="C3" s="9" t="inlineStr">
        <is>
          <t>SCP Taurus 236PS</t>
        </is>
      </c>
      <c r="D3" s="9" t="inlineStr">
        <is>
          <t>Третій платіж</t>
        </is>
      </c>
      <c r="E3" s="11" t="n">
        <v>4618423.4</v>
      </c>
      <c r="F3" s="11" t="n">
        <v>0</v>
      </c>
      <c r="G3" s="11">
        <f>E3-F3</f>
        <v/>
      </c>
    </row>
    <row r="4">
      <c r="A4" s="8" t="n">
        <v>46113</v>
      </c>
      <c r="B4" s="9" t="n">
        <v>7068</v>
      </c>
      <c r="C4" s="9" t="inlineStr">
        <is>
          <t>А Remtec energy  AGM  160 TP</t>
        </is>
      </c>
      <c r="D4" s="9" t="inlineStr">
        <is>
          <t>Авансовий платіж</t>
        </is>
      </c>
      <c r="E4" s="11" t="n">
        <v>5640128</v>
      </c>
      <c r="F4" s="11" t="n">
        <v>1692038</v>
      </c>
      <c r="G4" s="11">
        <f>E4-F4</f>
        <v/>
      </c>
    </row>
    <row r="5">
      <c r="A5" s="8" t="n">
        <v>46238</v>
      </c>
      <c r="B5" s="9" t="n">
        <v>8188</v>
      </c>
      <c r="C5" s="9" t="inlineStr">
        <is>
          <t>Фундамент Ужгород Стефанія</t>
        </is>
      </c>
      <c r="D5" s="9" t="inlineStr">
        <is>
          <t>Другий платіж</t>
        </is>
      </c>
      <c r="E5" s="11" t="n">
        <v>73926</v>
      </c>
      <c r="F5" s="11" t="n">
        <v>0</v>
      </c>
      <c r="G5" s="11">
        <f>E5-F5</f>
        <v/>
      </c>
    </row>
    <row r="6">
      <c r="D6" s="3" t="inlineStr">
        <is>
          <t>Разом</t>
        </is>
      </c>
      <c r="E6" s="13">
        <f>SUM(E2:E5)</f>
        <v/>
      </c>
      <c r="F6" s="13">
        <f>SUM(F2:F5)</f>
        <v/>
      </c>
      <c r="G6" s="13">
        <f>SUM(G2:G5)</f>
        <v/>
      </c>
    </row>
  </sheetData>
  <autoFilter ref="A1:G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2026-08-05T07:03:22Z</dcterms:created>
  <dcterms:modified xmlns:dcterms="http://purl.org/dc/terms/" xmlns:xsi="http://www.w3.org/2001/XMLSchema-instance" xsi:type="dcterms:W3CDTF">2026-08-05T07:03:22Z</dcterms:modified>
</cp:coreProperties>
</file>