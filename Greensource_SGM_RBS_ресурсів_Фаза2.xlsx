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и" sheetId="1" state="visible" r:id="rId3"/>
    <sheet name="RBS ресурсів" sheetId="2" state="visible" r:id="rId4"/>
    <sheet name="Зведення" sheetId="3" state="visible" r:id="rId5"/>
    <sheet name="Довідни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ОУП</author>
  </authors>
  <commentList>
    <comment ref="C23" authorId="0">
      <text>
        <r>
          <rPr>
            <sz val="10"/>
            <rFont val="Arial"/>
            <family val="2"/>
          </rPr>
          <t xml:space="preserve">Бригадо-дні = обсяг / продуктивність. Драйвер вартості персоналу й оренди.</t>
        </r>
      </text>
    </comment>
  </commentList>
</comments>
</file>

<file path=xl/sharedStrings.xml><?xml version="1.0" encoding="utf-8"?>
<sst xmlns="http://schemas.openxmlformats.org/spreadsheetml/2006/main" count="304" uniqueCount="210">
  <si>
    <t xml:space="preserve">Параметри · калькулятор · прогноз бюджету</t>
  </si>
  <si>
    <t xml:space="preserve">Міняєте сині значення — кількості в реєстрі RBS і весь бюджет перераховуються самі. «Граєтеся» сценаріями.</t>
  </si>
  <si>
    <t xml:space="preserve">1. ОБСЯГ ТА ДОПУЩЕННЯ</t>
  </si>
  <si>
    <t xml:space="preserve">Всього точок (Фаза 2)</t>
  </si>
  <si>
    <t xml:space="preserve">точок</t>
  </si>
  <si>
    <t xml:space="preserve">драйвер масштабу</t>
  </si>
  <si>
    <t xml:space="preserve">Тип паль</t>
  </si>
  <si>
    <t xml:space="preserve">Геошурупи з предрилом</t>
  </si>
  <si>
    <t xml:space="preserve">усі точки — шурупи</t>
  </si>
  <si>
    <t xml:space="preserve">Реакційних анкерів на точку</t>
  </si>
  <si>
    <t xml:space="preserve">шт</t>
  </si>
  <si>
    <t xml:space="preserve">для pull-out; скоригуйте</t>
  </si>
  <si>
    <t xml:space="preserve">ГСМ, л на бригадо-день</t>
  </si>
  <si>
    <t xml:space="preserve">л/дн</t>
  </si>
  <si>
    <t xml:space="preserve">орієнтовна витрата</t>
  </si>
  <si>
    <t xml:space="preserve">Резерв на непередбачене</t>
  </si>
  <si>
    <t xml:space="preserve">%</t>
  </si>
  <si>
    <t xml:space="preserve">частка від прямих витрат</t>
  </si>
  <si>
    <t xml:space="preserve">2. ПРОДУКТИВНІСТЬ (ФАКТ ФАЗИ 1)</t>
  </si>
  <si>
    <t xml:space="preserve">Монтаж: точок/день/бригада</t>
  </si>
  <si>
    <t xml:space="preserve">точ/дн</t>
  </si>
  <si>
    <t xml:space="preserve">Фаза 1: 5 точок за 2 дні</t>
  </si>
  <si>
    <t xml:space="preserve">Тестування: точок/день/бригада</t>
  </si>
  <si>
    <t xml:space="preserve">Фаза 1: 5 точок за 5 днів (1 експерт)</t>
  </si>
  <si>
    <t xml:space="preserve">Робочих днів на тиждень</t>
  </si>
  <si>
    <t xml:space="preserve">дн</t>
  </si>
  <si>
    <t xml:space="preserve">3. БРИГАДИ ТА СКЛАД (РІШЕННЯ)</t>
  </si>
  <si>
    <t xml:space="preserve">Монтажних бригад</t>
  </si>
  <si>
    <t xml:space="preserve">бригад</t>
  </si>
  <si>
    <t xml:space="preserve">Тестових бригад</t>
  </si>
  <si>
    <t xml:space="preserve">орієнтир — мінімум 3</t>
  </si>
  <si>
    <t xml:space="preserve">Розмір монтажної бригади</t>
  </si>
  <si>
    <t xml:space="preserve">осіб</t>
  </si>
  <si>
    <t xml:space="preserve">Розмір тестової бригади</t>
  </si>
  <si>
    <t xml:space="preserve">експерт + технік</t>
  </si>
  <si>
    <t xml:space="preserve">4. РОЗРАХУНОК (АВТО — не редагувати)</t>
  </si>
  <si>
    <t xml:space="preserve">Монтаж — бригадо-днів (всього)</t>
  </si>
  <si>
    <t xml:space="preserve">бр-дн</t>
  </si>
  <si>
    <t xml:space="preserve">Тестування — бригадо-днів (всього)</t>
  </si>
  <si>
    <t xml:space="preserve">вузьке місце</t>
  </si>
  <si>
    <t xml:space="preserve">Монтаж — календарних днів</t>
  </si>
  <si>
    <t xml:space="preserve">Тестування — календарних днів</t>
  </si>
  <si>
    <t xml:space="preserve">Польова тривалість (з нахлестом) + буфер</t>
  </si>
  <si>
    <t xml:space="preserve">планова</t>
  </si>
  <si>
    <t xml:space="preserve">Осіб у полі (всього)</t>
  </si>
  <si>
    <t xml:space="preserve">5. СКІЛЬКИ ПОТРІБНО ТЕСТ-БРИГАД? (тест — вузьке місце)</t>
  </si>
  <si>
    <t xml:space="preserve">Тест-бригад</t>
  </si>
  <si>
    <t xml:space="preserve">Календарних днів</t>
  </si>
  <si>
    <t xml:space="preserve">Робочих тижнів</t>
  </si>
  <si>
    <t xml:space="preserve">Орієнтир — 3 тест-бригади (~17 днів ≈ 3 тижні).</t>
  </si>
  <si>
    <t xml:space="preserve">6. ПРОГНОЗ БЮДЖЕТУ (оновлюється зі ставок у реєстрі)</t>
  </si>
  <si>
    <t xml:space="preserve">Разом прямі витрати</t>
  </si>
  <si>
    <t xml:space="preserve">сума розділів 1–6</t>
  </si>
  <si>
    <t xml:space="preserve">% від прямих</t>
  </si>
  <si>
    <t xml:space="preserve">РАЗОМ БЮДЖЕТ ФАЗИ 2</t>
  </si>
  <si>
    <t xml:space="preserve">з резервом</t>
  </si>
  <si>
    <t xml:space="preserve">Вартість на 1 точку</t>
  </si>
  <si>
    <t xml:space="preserve">бюджет / к-сть точок</t>
  </si>
  <si>
    <t xml:space="preserve">Польова тривалість</t>
  </si>
  <si>
    <t xml:space="preserve">календарних днів</t>
  </si>
  <si>
    <t xml:space="preserve">Реєстр RBS ресурсів — Greensource SGM 110 MWp · Фаза 2 · випробування 50 точок (геошурупи)</t>
  </si>
  <si>
    <t xml:space="preserve">Кількість — формула від «Параметрів» (можна замінити числом уручну). Ставку € вписуєте ви. Вартість і підсумки — авто.</t>
  </si>
  <si>
    <t xml:space="preserve">Код RBS</t>
  </si>
  <si>
    <t xml:space="preserve">Ресурс / стаття витрат</t>
  </si>
  <si>
    <t xml:space="preserve">Тип</t>
  </si>
  <si>
    <t xml:space="preserve">Одиниця</t>
  </si>
  <si>
    <t xml:space="preserve">Кількість</t>
  </si>
  <si>
    <t xml:space="preserve">Ставка, €</t>
  </si>
  <si>
    <t xml:space="preserve">Вартість, €</t>
  </si>
  <si>
    <t xml:space="preserve">Підказка к-сті (формула від «Параметрів»)</t>
  </si>
  <si>
    <t xml:space="preserve">1</t>
  </si>
  <si>
    <t xml:space="preserve">Персонал</t>
  </si>
  <si>
    <t xml:space="preserve">1.1</t>
  </si>
  <si>
    <t xml:space="preserve">Геотехнічний експерт (випробування)</t>
  </si>
  <si>
    <t xml:space="preserve">Послуга</t>
  </si>
  <si>
    <t xml:space="preserve">люд-день</t>
  </si>
  <si>
    <t xml:space="preserve">тест бригадо-дні (1 експерт/бригаду)</t>
  </si>
  <si>
    <t xml:space="preserve">1.2</t>
  </si>
  <si>
    <t xml:space="preserve">Оператор ГАЙКа (вкручення шурупів)</t>
  </si>
  <si>
    <t xml:space="preserve">ЗП / бригада</t>
  </si>
  <si>
    <t xml:space="preserve">монтаж бригадо-дні</t>
  </si>
  <si>
    <t xml:space="preserve">1.3</t>
  </si>
  <si>
    <t xml:space="preserve">Оператор предрил-установки</t>
  </si>
  <si>
    <t xml:space="preserve">усі точки — з предрилом</t>
  </si>
  <si>
    <t xml:space="preserve">1.4</t>
  </si>
  <si>
    <t xml:space="preserve">Помічники монтажу</t>
  </si>
  <si>
    <t xml:space="preserve">≈2 на бригаду</t>
  </si>
  <si>
    <t xml:space="preserve">1.5</t>
  </si>
  <si>
    <t xml:space="preserve">Технік/помічник випробувань</t>
  </si>
  <si>
    <t xml:space="preserve">1 на тест-бригаду</t>
  </si>
  <si>
    <t xml:space="preserve">1.6</t>
  </si>
  <si>
    <t xml:space="preserve">Супервайзер робіт</t>
  </si>
  <si>
    <t xml:space="preserve">вся польова тривалість</t>
  </si>
  <si>
    <t xml:space="preserve">1.7</t>
  </si>
  <si>
    <t xml:space="preserve">Геодезист (розмітка точок)</t>
  </si>
  <si>
    <t xml:space="preserve">≈25 точок/день</t>
  </si>
  <si>
    <t xml:space="preserve">2</t>
  </si>
  <si>
    <t xml:space="preserve">Обладнання (оренда)</t>
  </si>
  <si>
    <t xml:space="preserve">2.1</t>
  </si>
  <si>
    <t xml:space="preserve">ГАЙК — гайковерт</t>
  </si>
  <si>
    <t xml:space="preserve">Оренда</t>
  </si>
  <si>
    <t xml:space="preserve">бригадо-день</t>
  </si>
  <si>
    <t xml:space="preserve">2.2</t>
  </si>
  <si>
    <t xml:space="preserve">Предрил-установка (буріння)</t>
  </si>
  <si>
    <t xml:space="preserve">усі точки</t>
  </si>
  <si>
    <t xml:space="preserve">2.3</t>
  </si>
  <si>
    <t xml:space="preserve">Квадроцикл (переміщення полем)</t>
  </si>
  <si>
    <t xml:space="preserve">монтаж + тест</t>
  </si>
  <si>
    <t xml:space="preserve">2.4</t>
  </si>
  <si>
    <t xml:space="preserve">Комплект «виривання»: домкрат, насос, реакц. балка, динамометр, індикатори</t>
  </si>
  <si>
    <t xml:space="preserve">pull-out</t>
  </si>
  <si>
    <t xml:space="preserve">2.5</t>
  </si>
  <si>
    <t xml:space="preserve">Комплект «стиск»: домкрат, реакц. система, прогиноміри</t>
  </si>
  <si>
    <t xml:space="preserve">compression</t>
  </si>
  <si>
    <t xml:space="preserve">2.6</t>
  </si>
  <si>
    <t xml:space="preserve">Генератор</t>
  </si>
  <si>
    <t xml:space="preserve">живлення насосів/приладів</t>
  </si>
  <si>
    <t xml:space="preserve">2.7</t>
  </si>
  <si>
    <t xml:space="preserve">Повірка/калібрування приладів</t>
  </si>
  <si>
    <t xml:space="preserve">к-т</t>
  </si>
  <si>
    <t xml:space="preserve">на тест-бригаду</t>
  </si>
  <si>
    <t xml:space="preserve">3</t>
  </si>
  <si>
    <t xml:space="preserve">Матеріали та витратники</t>
  </si>
  <si>
    <t xml:space="preserve">3.1</t>
  </si>
  <si>
    <t xml:space="preserve">Геошурупи тестові</t>
  </si>
  <si>
    <t xml:space="preserve">Купівля</t>
  </si>
  <si>
    <t xml:space="preserve">за к-стю точок</t>
  </si>
  <si>
    <t xml:space="preserve">3.2</t>
  </si>
  <si>
    <t xml:space="preserve">Реакційні анкери/палі (pull-out)</t>
  </si>
  <si>
    <t xml:space="preserve">анкерів на точку</t>
  </si>
  <si>
    <t xml:space="preserve">3.3</t>
  </si>
  <si>
    <t xml:space="preserve">Витратники предрилу (коронки/свердла)</t>
  </si>
  <si>
    <t xml:space="preserve">компл</t>
  </si>
  <si>
    <t xml:space="preserve">3.4</t>
  </si>
  <si>
    <t xml:space="preserve">ГСМ (дизель / бензин A-95)</t>
  </si>
  <si>
    <t xml:space="preserve">л</t>
  </si>
  <si>
    <t xml:space="preserve">бригадо-дні × добова витрата</t>
  </si>
  <si>
    <t xml:space="preserve">3.5</t>
  </si>
  <si>
    <t xml:space="preserve">Метизи / дрібні розхідники</t>
  </si>
  <si>
    <t xml:space="preserve">вписати вручну</t>
  </si>
  <si>
    <t xml:space="preserve">4</t>
  </si>
  <si>
    <t xml:space="preserve">Логістика та відрядження</t>
  </si>
  <si>
    <t xml:space="preserve">4.1</t>
  </si>
  <si>
    <t xml:space="preserve">Мобілізація/демобілізація обладнання</t>
  </si>
  <si>
    <t xml:space="preserve">рейс</t>
  </si>
  <si>
    <t xml:space="preserve">туди-назад</t>
  </si>
  <si>
    <t xml:space="preserve">4.2</t>
  </si>
  <si>
    <t xml:space="preserve">Проїзд бригад (до об'єкта і назад)</t>
  </si>
  <si>
    <t xml:space="preserve">Відрядження</t>
  </si>
  <si>
    <t xml:space="preserve">за положенням про відрядження</t>
  </si>
  <si>
    <t xml:space="preserve">4.3</t>
  </si>
  <si>
    <t xml:space="preserve">Проживання (готель)</t>
  </si>
  <si>
    <t xml:space="preserve">людино-ніч</t>
  </si>
  <si>
    <t xml:space="preserve">осіб × польові дні</t>
  </si>
  <si>
    <t xml:space="preserve">4.4</t>
  </si>
  <si>
    <t xml:space="preserve">Добові</t>
  </si>
  <si>
    <t xml:space="preserve">за положенням; авансовий звіт</t>
  </si>
  <si>
    <t xml:space="preserve">4.5</t>
  </si>
  <si>
    <t xml:space="preserve">Місцевий трансфер (готель↔майданчик)</t>
  </si>
  <si>
    <t xml:space="preserve">щоденно</t>
  </si>
  <si>
    <t xml:space="preserve">4.6</t>
  </si>
  <si>
    <t xml:space="preserve">Оренда/паливо авто для переміщень</t>
  </si>
  <si>
    <t xml:space="preserve">Змішано</t>
  </si>
  <si>
    <t xml:space="preserve">5</t>
  </si>
  <si>
    <t xml:space="preserve">Польові умови та побут</t>
  </si>
  <si>
    <t xml:space="preserve">5.1</t>
  </si>
  <si>
    <t xml:space="preserve">Намет/навіс/побутівка (тінь, дощ)</t>
  </si>
  <si>
    <t xml:space="preserve">1 на бригаду</t>
  </si>
  <si>
    <t xml:space="preserve">5.2</t>
  </si>
  <si>
    <t xml:space="preserve">Питна вода та електроліти (жара)</t>
  </si>
  <si>
    <t xml:space="preserve">5.3</t>
  </si>
  <si>
    <t xml:space="preserve">Дощовики, непромокальний одяг, гумове взуття</t>
  </si>
  <si>
    <t xml:space="preserve">на особу</t>
  </si>
  <si>
    <t xml:space="preserve">5.4</t>
  </si>
  <si>
    <t xml:space="preserve">Сонцезахист (креми, головні убори)</t>
  </si>
  <si>
    <t xml:space="preserve">5.5</t>
  </si>
  <si>
    <t xml:space="preserve">Тенти/кейси для захисту обладнання</t>
  </si>
  <si>
    <t xml:space="preserve">5.6</t>
  </si>
  <si>
    <t xml:space="preserve">Біотуалет / умивальник (оренда)</t>
  </si>
  <si>
    <t xml:space="preserve">міс</t>
  </si>
  <si>
    <t xml:space="preserve">за тривалістю</t>
  </si>
  <si>
    <t xml:space="preserve">5.7</t>
  </si>
  <si>
    <t xml:space="preserve">Аптечка / медзабезпечення</t>
  </si>
  <si>
    <t xml:space="preserve">6</t>
  </si>
  <si>
    <t xml:space="preserve">Документи, ТБ, страхування</t>
  </si>
  <si>
    <t xml:space="preserve">6.1</t>
  </si>
  <si>
    <t xml:space="preserve">Протоколи випробувань + підсумковий звіт</t>
  </si>
  <si>
    <t xml:space="preserve">звіт по всіх точках</t>
  </si>
  <si>
    <t xml:space="preserve">6.2</t>
  </si>
  <si>
    <t xml:space="preserve">Дозволи/погодження на майданчику</t>
  </si>
  <si>
    <t xml:space="preserve">—</t>
  </si>
  <si>
    <t xml:space="preserve">6.3</t>
  </si>
  <si>
    <t xml:space="preserve">ЗІЗ / інструктаж з ТБ</t>
  </si>
  <si>
    <t xml:space="preserve">6.4</t>
  </si>
  <si>
    <t xml:space="preserve">Страхування обладнання/робіт</t>
  </si>
  <si>
    <t xml:space="preserve">поліс</t>
  </si>
  <si>
    <t xml:space="preserve">на період Фази 2</t>
  </si>
  <si>
    <t xml:space="preserve">РАЗОМ ПРЯМІ ВИТРАТИ</t>
  </si>
  <si>
    <t xml:space="preserve">РАЗОМ БЮДЖЕТ ФАЗИ 2 (з резервом)</t>
  </si>
  <si>
    <t xml:space="preserve">Зведення бюджету по розділах RBS</t>
  </si>
  <si>
    <t xml:space="preserve">Розділ</t>
  </si>
  <si>
    <t xml:space="preserve">Частка</t>
  </si>
  <si>
    <t xml:space="preserve">1. Персонал</t>
  </si>
  <si>
    <t xml:space="preserve">2. Обладнання (оренда)</t>
  </si>
  <si>
    <t xml:space="preserve">3. Матеріали та витратники</t>
  </si>
  <si>
    <t xml:space="preserve">4. Логістика та відрядження</t>
  </si>
  <si>
    <t xml:space="preserve">5. Польові умови та побут</t>
  </si>
  <si>
    <t xml:space="preserve">6. Документи, ТБ, страхування</t>
  </si>
  <si>
    <t xml:space="preserve">РАЗОМ ПРЯМІ</t>
  </si>
  <si>
    <t xml:space="preserve">Тип статті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</si>
</sst>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##"/>
    <numFmt numFmtId="167" formatCode="#,##0.00&quot; €&quot;"/>
    <numFmt numFmtId="168" formatCode="#,##0&quot; дн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11"/>
      <color rgb="FFE2683C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8A94A6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3E9C6B"/>
      <name val="Arial"/>
      <family val="0"/>
      <charset val="1"/>
    </font>
    <font>
      <b val="true"/>
      <sz val="10"/>
      <color rgb="FF3E9C6B"/>
      <name val="Arial"/>
      <family val="0"/>
      <charset val="1"/>
    </font>
    <font>
      <b val="true"/>
      <sz val="11"/>
      <color rgb="FF3E9C6B"/>
      <name val="Arial"/>
      <family val="0"/>
      <charset val="1"/>
    </font>
    <font>
      <b val="true"/>
      <sz val="12"/>
      <color rgb="FF1A2332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23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6233A"/>
        <bgColor rgb="FF1A2332"/>
      </patternFill>
    </fill>
    <fill>
      <patternFill patternType="solid">
        <fgColor rgb="FFF4F6F9"/>
        <bgColor rgb="FFFFFFFF"/>
      </patternFill>
    </fill>
    <fill>
      <patternFill patternType="solid">
        <fgColor rgb="FFFFF3CD"/>
        <bgColor rgb="FFF4F6F9"/>
      </patternFill>
    </fill>
    <fill>
      <patternFill patternType="solid">
        <fgColor rgb="FFE2683C"/>
        <bgColor rgb="FFFF8080"/>
      </patternFill>
    </fill>
    <fill>
      <patternFill patternType="solid">
        <fgColor rgb="FFD9F2E4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3CD"/>
      <rgbColor rgb="FFF4F6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683C"/>
      <rgbColor rgb="FF4F81BD"/>
      <rgbColor rgb="FF8A94A6"/>
      <rgbColor rgb="FF16233A"/>
      <rgbColor rgb="FF3E9C6B"/>
      <rgbColor rgb="FF003300"/>
      <rgbColor rgb="FF333300"/>
      <rgbColor rgb="FF99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Бюджет по розділах RBS, 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Зведення!$B$4:$B$9</c:f>
              <c:strCache>
                <c:ptCount val="6"/>
                <c:pt idx="0">
                  <c:v>1. Персонал</c:v>
                </c:pt>
                <c:pt idx="1">
                  <c:v>2. Обладнання (оренда)</c:v>
                </c:pt>
                <c:pt idx="2">
                  <c:v>3. Матеріали та витратники</c:v>
                </c:pt>
                <c:pt idx="3">
                  <c:v>4. Логістика та відрядження</c:v>
                </c:pt>
                <c:pt idx="4">
                  <c:v>5. Польові умови та побут</c:v>
                </c:pt>
                <c:pt idx="5">
                  <c:v>6. Документи, ТБ, страхування</c:v>
                </c:pt>
              </c:strCache>
            </c:strRef>
          </c:cat>
          <c:val>
            <c:numRef>
              <c:f>Зведення!$C$4:$C$9</c:f>
              <c:numCache>
                <c:formatCode>#,##0.00" €"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3880492"/>
        <c:axId val="92089210"/>
      </c:barChart>
      <c:catAx>
        <c:axId val="93880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89210"/>
        <c:crosses val="autoZero"/>
        <c:auto val="1"/>
        <c:lblAlgn val="ctr"/>
        <c:lblOffset val="100"/>
        <c:noMultiLvlLbl val="0"/>
      </c:catAx>
      <c:valAx>
        <c:axId val="92089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8804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7</xdr:col>
      <xdr:colOff>274680</xdr:colOff>
      <xdr:row>28</xdr:row>
      <xdr:rowOff>720</xdr:rowOff>
    </xdr:to>
    <xdr:graphicFrame>
      <xdr:nvGraphicFramePr>
        <xdr:cNvPr id="1" name="Chart 1"/>
        <xdr:cNvGraphicFramePr/>
      </xdr:nvGraphicFramePr>
      <xdr:xfrm>
        <a:off x="211320" y="268596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42"/>
  </cols>
  <sheetData>
    <row r="1" customFormat="false" ht="30" hidden="false" customHeight="true" outlineLevel="0" collapsed="false">
      <c r="B1" s="2" t="s">
        <v>0</v>
      </c>
      <c r="C1" s="2"/>
      <c r="D1" s="2"/>
      <c r="E1" s="2"/>
    </row>
    <row r="2" customFormat="false" ht="15.75" hidden="false" customHeight="true" outlineLevel="0" collapsed="false">
      <c r="B2" s="3" t="s">
        <v>1</v>
      </c>
      <c r="C2" s="3"/>
      <c r="D2" s="3"/>
      <c r="E2" s="3"/>
    </row>
    <row r="4" customFormat="false" ht="21.75" hidden="false" customHeight="true" outlineLevel="0" collapsed="false">
      <c r="B4" s="4" t="s">
        <v>2</v>
      </c>
      <c r="C4" s="4"/>
      <c r="D4" s="4"/>
      <c r="E4" s="4"/>
    </row>
    <row r="5" customFormat="false" ht="18" hidden="false" customHeight="true" outlineLevel="0" collapsed="false">
      <c r="B5" s="5" t="s">
        <v>3</v>
      </c>
      <c r="C5" s="6" t="n">
        <v>50</v>
      </c>
      <c r="D5" s="7" t="s">
        <v>4</v>
      </c>
      <c r="E5" s="8" t="s">
        <v>5</v>
      </c>
    </row>
    <row r="6" customFormat="false" ht="18" hidden="false" customHeight="true" outlineLevel="0" collapsed="false">
      <c r="B6" s="5" t="s">
        <v>6</v>
      </c>
      <c r="C6" s="9" t="s">
        <v>7</v>
      </c>
      <c r="D6" s="7"/>
      <c r="E6" s="8" t="s">
        <v>8</v>
      </c>
    </row>
    <row r="7" customFormat="false" ht="18" hidden="false" customHeight="true" outlineLevel="0" collapsed="false">
      <c r="B7" s="5" t="s">
        <v>9</v>
      </c>
      <c r="C7" s="6" t="n">
        <v>2</v>
      </c>
      <c r="D7" s="7" t="s">
        <v>10</v>
      </c>
      <c r="E7" s="8" t="s">
        <v>11</v>
      </c>
    </row>
    <row r="8" customFormat="false" ht="18" hidden="false" customHeight="true" outlineLevel="0" collapsed="false">
      <c r="B8" s="5" t="s">
        <v>12</v>
      </c>
      <c r="C8" s="6" t="n">
        <v>20</v>
      </c>
      <c r="D8" s="7" t="s">
        <v>13</v>
      </c>
      <c r="E8" s="8" t="s">
        <v>14</v>
      </c>
    </row>
    <row r="9" customFormat="false" ht="18" hidden="false" customHeight="true" outlineLevel="0" collapsed="false">
      <c r="B9" s="5" t="s">
        <v>15</v>
      </c>
      <c r="C9" s="10" t="n">
        <v>0.12</v>
      </c>
      <c r="D9" s="7" t="s">
        <v>16</v>
      </c>
      <c r="E9" s="8" t="s">
        <v>17</v>
      </c>
    </row>
    <row r="11" customFormat="false" ht="21.75" hidden="false" customHeight="true" outlineLevel="0" collapsed="false">
      <c r="B11" s="4" t="s">
        <v>18</v>
      </c>
      <c r="C11" s="4"/>
      <c r="D11" s="4"/>
      <c r="E11" s="4"/>
    </row>
    <row r="12" customFormat="false" ht="18" hidden="false" customHeight="true" outlineLevel="0" collapsed="false">
      <c r="B12" s="5" t="s">
        <v>19</v>
      </c>
      <c r="C12" s="6" t="n">
        <v>2.5</v>
      </c>
      <c r="D12" s="7" t="s">
        <v>20</v>
      </c>
      <c r="E12" s="8" t="s">
        <v>21</v>
      </c>
    </row>
    <row r="13" customFormat="false" ht="18" hidden="false" customHeight="true" outlineLevel="0" collapsed="false">
      <c r="B13" s="5" t="s">
        <v>22</v>
      </c>
      <c r="C13" s="6" t="n">
        <v>1</v>
      </c>
      <c r="D13" s="7" t="s">
        <v>20</v>
      </c>
      <c r="E13" s="8" t="s">
        <v>23</v>
      </c>
    </row>
    <row r="14" customFormat="false" ht="18" hidden="false" customHeight="true" outlineLevel="0" collapsed="false">
      <c r="B14" s="5" t="s">
        <v>24</v>
      </c>
      <c r="C14" s="6" t="n">
        <v>6</v>
      </c>
      <c r="D14" s="7" t="s">
        <v>25</v>
      </c>
      <c r="E14" s="8"/>
    </row>
    <row r="16" customFormat="false" ht="21.75" hidden="false" customHeight="true" outlineLevel="0" collapsed="false">
      <c r="B16" s="4" t="s">
        <v>26</v>
      </c>
      <c r="C16" s="4"/>
      <c r="D16" s="4"/>
      <c r="E16" s="4"/>
    </row>
    <row r="17" customFormat="false" ht="18" hidden="false" customHeight="true" outlineLevel="0" collapsed="false">
      <c r="B17" s="5" t="s">
        <v>27</v>
      </c>
      <c r="C17" s="6" t="n">
        <v>2</v>
      </c>
      <c r="D17" s="7" t="s">
        <v>28</v>
      </c>
      <c r="E17" s="8"/>
    </row>
    <row r="18" customFormat="false" ht="18" hidden="false" customHeight="true" outlineLevel="0" collapsed="false">
      <c r="B18" s="5" t="s">
        <v>29</v>
      </c>
      <c r="C18" s="6" t="n">
        <v>3</v>
      </c>
      <c r="D18" s="7" t="s">
        <v>28</v>
      </c>
      <c r="E18" s="8" t="s">
        <v>30</v>
      </c>
    </row>
    <row r="19" customFormat="false" ht="18" hidden="false" customHeight="true" outlineLevel="0" collapsed="false">
      <c r="B19" s="5" t="s">
        <v>31</v>
      </c>
      <c r="C19" s="6" t="n">
        <v>4</v>
      </c>
      <c r="D19" s="7" t="s">
        <v>32</v>
      </c>
      <c r="E19" s="8"/>
    </row>
    <row r="20" customFormat="false" ht="18" hidden="false" customHeight="true" outlineLevel="0" collapsed="false">
      <c r="B20" s="5" t="s">
        <v>33</v>
      </c>
      <c r="C20" s="6" t="n">
        <v>2</v>
      </c>
      <c r="D20" s="7" t="s">
        <v>32</v>
      </c>
      <c r="E20" s="8" t="s">
        <v>34</v>
      </c>
    </row>
    <row r="22" customFormat="false" ht="21.75" hidden="false" customHeight="true" outlineLevel="0" collapsed="false">
      <c r="B22" s="4" t="s">
        <v>35</v>
      </c>
      <c r="C22" s="4"/>
      <c r="D22" s="4"/>
      <c r="E22" s="4"/>
    </row>
    <row r="23" customFormat="false" ht="18" hidden="false" customHeight="true" outlineLevel="0" collapsed="false">
      <c r="B23" s="5" t="s">
        <v>36</v>
      </c>
      <c r="C23" s="9" t="n">
        <f aca="false">ROUNDUP(C5/C12,0)</f>
        <v>20</v>
      </c>
      <c r="D23" s="7" t="s">
        <v>37</v>
      </c>
      <c r="E23" s="8"/>
    </row>
    <row r="24" customFormat="false" ht="18" hidden="false" customHeight="true" outlineLevel="0" collapsed="false">
      <c r="B24" s="5" t="s">
        <v>38</v>
      </c>
      <c r="C24" s="9" t="n">
        <f aca="false">ROUNDUP(C5/C13,0)</f>
        <v>50</v>
      </c>
      <c r="D24" s="7" t="s">
        <v>37</v>
      </c>
      <c r="E24" s="8" t="s">
        <v>39</v>
      </c>
    </row>
    <row r="25" customFormat="false" ht="18" hidden="false" customHeight="true" outlineLevel="0" collapsed="false">
      <c r="B25" s="5" t="s">
        <v>40</v>
      </c>
      <c r="C25" s="9" t="n">
        <f aca="false">ROUNDUP(C5/(C12*C17),0)</f>
        <v>10</v>
      </c>
      <c r="D25" s="7" t="s">
        <v>25</v>
      </c>
      <c r="E25" s="8"/>
    </row>
    <row r="26" customFormat="false" ht="18" hidden="false" customHeight="true" outlineLevel="0" collapsed="false">
      <c r="B26" s="5" t="s">
        <v>41</v>
      </c>
      <c r="C26" s="9" t="n">
        <f aca="false">ROUNDUP(C5/(C13*C18),0)</f>
        <v>17</v>
      </c>
      <c r="D26" s="7" t="s">
        <v>25</v>
      </c>
      <c r="E26" s="8"/>
    </row>
    <row r="27" customFormat="false" ht="18" hidden="false" customHeight="true" outlineLevel="0" collapsed="false">
      <c r="B27" s="5" t="s">
        <v>42</v>
      </c>
      <c r="C27" s="9" t="n">
        <f aca="false">MAX(C25,C26)+2</f>
        <v>19</v>
      </c>
      <c r="D27" s="7" t="s">
        <v>25</v>
      </c>
      <c r="E27" s="8" t="s">
        <v>43</v>
      </c>
    </row>
    <row r="28" customFormat="false" ht="18" hidden="false" customHeight="true" outlineLevel="0" collapsed="false">
      <c r="B28" s="5" t="s">
        <v>44</v>
      </c>
      <c r="C28" s="9" t="n">
        <f aca="false">C17*C19+C18*C20</f>
        <v>14</v>
      </c>
      <c r="D28" s="7" t="s">
        <v>32</v>
      </c>
      <c r="E28" s="8"/>
    </row>
    <row r="30" customFormat="false" ht="21.75" hidden="false" customHeight="true" outlineLevel="0" collapsed="false">
      <c r="B30" s="4" t="s">
        <v>45</v>
      </c>
      <c r="C30" s="4"/>
      <c r="D30" s="4"/>
      <c r="E30" s="4"/>
    </row>
    <row r="31" customFormat="false" ht="24" hidden="false" customHeight="true" outlineLevel="0" collapsed="false">
      <c r="B31" s="11" t="s">
        <v>46</v>
      </c>
      <c r="C31" s="11" t="s">
        <v>47</v>
      </c>
      <c r="D31" s="11" t="s">
        <v>48</v>
      </c>
    </row>
    <row r="32" customFormat="false" ht="19.5" hidden="false" customHeight="true" outlineLevel="0" collapsed="false">
      <c r="B32" s="12" t="n">
        <v>1</v>
      </c>
      <c r="C32" s="13" t="n">
        <f aca="false">ROUNDUP($C$5/($C$13*B32),0)</f>
        <v>50</v>
      </c>
      <c r="D32" s="13" t="n">
        <f aca="false">ROUND(C32/$C$14,1)</f>
        <v>8.3</v>
      </c>
      <c r="E32" s="14" t="s">
        <v>49</v>
      </c>
    </row>
    <row r="33" customFormat="false" ht="19.5" hidden="false" customHeight="true" outlineLevel="0" collapsed="false">
      <c r="B33" s="12" t="n">
        <v>2</v>
      </c>
      <c r="C33" s="13" t="n">
        <f aca="false">ROUNDUP($C$5/($C$13*B33),0)</f>
        <v>25</v>
      </c>
      <c r="D33" s="13" t="n">
        <f aca="false">ROUND(C33/$C$14,1)</f>
        <v>4.2</v>
      </c>
      <c r="E33" s="14"/>
    </row>
    <row r="34" customFormat="false" ht="19.5" hidden="false" customHeight="true" outlineLevel="0" collapsed="false">
      <c r="B34" s="15" t="n">
        <v>3</v>
      </c>
      <c r="C34" s="16" t="n">
        <f aca="false">ROUNDUP($C$5/($C$13*B34),0)</f>
        <v>17</v>
      </c>
      <c r="D34" s="16" t="n">
        <f aca="false">ROUND(C34/$C$14,1)</f>
        <v>2.8</v>
      </c>
      <c r="E34" s="14"/>
    </row>
    <row r="35" customFormat="false" ht="19.5" hidden="false" customHeight="true" outlineLevel="0" collapsed="false">
      <c r="B35" s="12" t="n">
        <v>4</v>
      </c>
      <c r="C35" s="13" t="n">
        <f aca="false">ROUNDUP($C$5/($C$13*B35),0)</f>
        <v>13</v>
      </c>
      <c r="D35" s="13" t="n">
        <f aca="false">ROUND(C35/$C$14,1)</f>
        <v>2.2</v>
      </c>
      <c r="E35" s="14"/>
    </row>
    <row r="37" customFormat="false" ht="21.75" hidden="false" customHeight="true" outlineLevel="0" collapsed="false">
      <c r="B37" s="4" t="s">
        <v>50</v>
      </c>
      <c r="C37" s="4"/>
      <c r="D37" s="4"/>
      <c r="E37" s="4"/>
    </row>
    <row r="38" customFormat="false" ht="19.5" hidden="false" customHeight="true" outlineLevel="0" collapsed="false">
      <c r="B38" s="17" t="s">
        <v>51</v>
      </c>
      <c r="C38" s="18" t="n">
        <f aca="false">'RBS ресурсів'!$G$46</f>
        <v>0</v>
      </c>
      <c r="D38" s="8" t="s">
        <v>52</v>
      </c>
      <c r="E38" s="8"/>
    </row>
    <row r="39" customFormat="false" ht="19.5" hidden="false" customHeight="true" outlineLevel="0" collapsed="false">
      <c r="B39" s="17" t="s">
        <v>15</v>
      </c>
      <c r="C39" s="18" t="n">
        <f aca="false">'RBS ресурсів'!$G$47</f>
        <v>0</v>
      </c>
      <c r="D39" s="8" t="s">
        <v>53</v>
      </c>
      <c r="E39" s="8"/>
    </row>
    <row r="40" customFormat="false" ht="19.5" hidden="false" customHeight="true" outlineLevel="0" collapsed="false">
      <c r="B40" s="17" t="s">
        <v>54</v>
      </c>
      <c r="C40" s="19" t="n">
        <f aca="false">'RBS ресурсів'!$G$48</f>
        <v>0</v>
      </c>
      <c r="D40" s="8" t="s">
        <v>55</v>
      </c>
      <c r="E40" s="8"/>
    </row>
    <row r="41" customFormat="false" ht="19.5" hidden="false" customHeight="true" outlineLevel="0" collapsed="false">
      <c r="B41" s="17" t="s">
        <v>56</v>
      </c>
      <c r="C41" s="18" t="n">
        <f aca="false">'RBS ресурсів'!$G$48/C5</f>
        <v>0</v>
      </c>
      <c r="D41" s="8" t="s">
        <v>57</v>
      </c>
      <c r="E41" s="8"/>
    </row>
    <row r="42" customFormat="false" ht="19.5" hidden="false" customHeight="true" outlineLevel="0" collapsed="false">
      <c r="B42" s="17" t="s">
        <v>58</v>
      </c>
      <c r="C42" s="20" t="n">
        <f aca="false">C27</f>
        <v>19</v>
      </c>
      <c r="D42" s="8" t="s">
        <v>59</v>
      </c>
      <c r="E42" s="8"/>
    </row>
  </sheetData>
  <mergeCells count="14">
    <mergeCell ref="B1:E1"/>
    <mergeCell ref="B2:E2"/>
    <mergeCell ref="B4:E4"/>
    <mergeCell ref="B11:E11"/>
    <mergeCell ref="B16:E16"/>
    <mergeCell ref="B22:E22"/>
    <mergeCell ref="B30:E30"/>
    <mergeCell ref="E32:E35"/>
    <mergeCell ref="B37:E37"/>
    <mergeCell ref="D38:E38"/>
    <mergeCell ref="D39:E39"/>
    <mergeCell ref="D40:E40"/>
    <mergeCell ref="D41:E41"/>
    <mergeCell ref="D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27.75" hidden="false" customHeight="true" outlineLevel="0" collapsed="false">
      <c r="A1" s="21" t="s">
        <v>60</v>
      </c>
      <c r="B1" s="21"/>
      <c r="C1" s="21"/>
      <c r="D1" s="21"/>
      <c r="E1" s="21"/>
      <c r="F1" s="21"/>
      <c r="G1" s="21"/>
      <c r="H1" s="21"/>
    </row>
    <row r="2" customFormat="false" ht="15.75" hidden="false" customHeight="true" outlineLevel="0" collapsed="false">
      <c r="A2" s="3" t="s">
        <v>61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11" t="s">
        <v>62</v>
      </c>
      <c r="B3" s="11" t="s">
        <v>63</v>
      </c>
      <c r="C3" s="11" t="s">
        <v>64</v>
      </c>
      <c r="D3" s="11" t="s">
        <v>65</v>
      </c>
      <c r="E3" s="11" t="s">
        <v>66</v>
      </c>
      <c r="F3" s="11" t="s">
        <v>67</v>
      </c>
      <c r="G3" s="11" t="s">
        <v>68</v>
      </c>
      <c r="H3" s="11" t="s">
        <v>69</v>
      </c>
    </row>
    <row r="4" customFormat="false" ht="15" hidden="false" customHeight="true" outlineLevel="0" collapsed="false">
      <c r="A4" s="22" t="s">
        <v>70</v>
      </c>
      <c r="B4" s="23" t="s">
        <v>71</v>
      </c>
      <c r="C4" s="24"/>
      <c r="D4" s="24"/>
      <c r="E4" s="24"/>
      <c r="F4" s="24"/>
      <c r="G4" s="25" t="n">
        <f aca="false">SUM(G5:G11)</f>
        <v>0</v>
      </c>
      <c r="H4" s="24"/>
    </row>
    <row r="5" customFormat="false" ht="25.5" hidden="false" customHeight="true" outlineLevel="0" collapsed="false">
      <c r="A5" s="7" t="s">
        <v>72</v>
      </c>
      <c r="B5" s="26" t="s">
        <v>73</v>
      </c>
      <c r="C5" s="12" t="s">
        <v>74</v>
      </c>
      <c r="D5" s="12" t="s">
        <v>75</v>
      </c>
      <c r="E5" s="27" t="n">
        <f aca="false">Параметри!$C$24</f>
        <v>50</v>
      </c>
      <c r="F5" s="28"/>
      <c r="G5" s="29" t="n">
        <f aca="false">E5*F5</f>
        <v>0</v>
      </c>
      <c r="H5" s="8" t="s">
        <v>76</v>
      </c>
    </row>
    <row r="6" customFormat="false" ht="25.5" hidden="false" customHeight="true" outlineLevel="0" collapsed="false">
      <c r="A6" s="7" t="s">
        <v>77</v>
      </c>
      <c r="B6" s="26" t="s">
        <v>78</v>
      </c>
      <c r="C6" s="12" t="s">
        <v>79</v>
      </c>
      <c r="D6" s="12" t="s">
        <v>75</v>
      </c>
      <c r="E6" s="27" t="n">
        <f aca="false">Параметри!$C$23</f>
        <v>20</v>
      </c>
      <c r="F6" s="28"/>
      <c r="G6" s="29" t="n">
        <f aca="false">E6*F6</f>
        <v>0</v>
      </c>
      <c r="H6" s="8" t="s">
        <v>80</v>
      </c>
    </row>
    <row r="7" customFormat="false" ht="25.5" hidden="false" customHeight="true" outlineLevel="0" collapsed="false">
      <c r="A7" s="7" t="s">
        <v>81</v>
      </c>
      <c r="B7" s="26" t="s">
        <v>82</v>
      </c>
      <c r="C7" s="12" t="s">
        <v>79</v>
      </c>
      <c r="D7" s="12" t="s">
        <v>75</v>
      </c>
      <c r="E7" s="27" t="n">
        <f aca="false">Параметри!$C$23</f>
        <v>20</v>
      </c>
      <c r="F7" s="28"/>
      <c r="G7" s="29" t="n">
        <f aca="false">E7*F7</f>
        <v>0</v>
      </c>
      <c r="H7" s="8" t="s">
        <v>83</v>
      </c>
    </row>
    <row r="8" customFormat="false" ht="25.5" hidden="false" customHeight="true" outlineLevel="0" collapsed="false">
      <c r="A8" s="7" t="s">
        <v>84</v>
      </c>
      <c r="B8" s="26" t="s">
        <v>85</v>
      </c>
      <c r="C8" s="12" t="s">
        <v>79</v>
      </c>
      <c r="D8" s="12" t="s">
        <v>75</v>
      </c>
      <c r="E8" s="27" t="n">
        <f aca="false">Параметри!$C$23*2</f>
        <v>40</v>
      </c>
      <c r="F8" s="28"/>
      <c r="G8" s="29" t="n">
        <f aca="false">E8*F8</f>
        <v>0</v>
      </c>
      <c r="H8" s="8" t="s">
        <v>86</v>
      </c>
    </row>
    <row r="9" customFormat="false" ht="25.5" hidden="false" customHeight="true" outlineLevel="0" collapsed="false">
      <c r="A9" s="7" t="s">
        <v>87</v>
      </c>
      <c r="B9" s="26" t="s">
        <v>88</v>
      </c>
      <c r="C9" s="12" t="s">
        <v>79</v>
      </c>
      <c r="D9" s="12" t="s">
        <v>75</v>
      </c>
      <c r="E9" s="27" t="n">
        <f aca="false">Параметри!$C$24</f>
        <v>50</v>
      </c>
      <c r="F9" s="28"/>
      <c r="G9" s="29" t="n">
        <f aca="false">E9*F9</f>
        <v>0</v>
      </c>
      <c r="H9" s="8" t="s">
        <v>89</v>
      </c>
    </row>
    <row r="10" customFormat="false" ht="25.5" hidden="false" customHeight="true" outlineLevel="0" collapsed="false">
      <c r="A10" s="7" t="s">
        <v>90</v>
      </c>
      <c r="B10" s="26" t="s">
        <v>91</v>
      </c>
      <c r="C10" s="12" t="s">
        <v>79</v>
      </c>
      <c r="D10" s="12" t="s">
        <v>75</v>
      </c>
      <c r="E10" s="27" t="n">
        <f aca="false">Параметри!$C$27</f>
        <v>19</v>
      </c>
      <c r="F10" s="28"/>
      <c r="G10" s="29" t="n">
        <f aca="false">E10*F10</f>
        <v>0</v>
      </c>
      <c r="H10" s="8" t="s">
        <v>92</v>
      </c>
    </row>
    <row r="11" customFormat="false" ht="25.5" hidden="false" customHeight="true" outlineLevel="0" collapsed="false">
      <c r="A11" s="7" t="s">
        <v>93</v>
      </c>
      <c r="B11" s="26" t="s">
        <v>94</v>
      </c>
      <c r="C11" s="12" t="s">
        <v>74</v>
      </c>
      <c r="D11" s="12" t="s">
        <v>75</v>
      </c>
      <c r="E11" s="27" t="n">
        <f aca="false">ROUNDUP(Параметри!$C$5/25,0)</f>
        <v>2</v>
      </c>
      <c r="F11" s="28"/>
      <c r="G11" s="29" t="n">
        <f aca="false">E11*F11</f>
        <v>0</v>
      </c>
      <c r="H11" s="8" t="s">
        <v>95</v>
      </c>
    </row>
    <row r="12" customFormat="false" ht="15" hidden="false" customHeight="true" outlineLevel="0" collapsed="false">
      <c r="A12" s="22" t="s">
        <v>96</v>
      </c>
      <c r="B12" s="23" t="s">
        <v>97</v>
      </c>
      <c r="C12" s="24"/>
      <c r="D12" s="24"/>
      <c r="E12" s="24"/>
      <c r="F12" s="24"/>
      <c r="G12" s="25" t="n">
        <f aca="false">SUM(G13:G19)</f>
        <v>0</v>
      </c>
      <c r="H12" s="24"/>
    </row>
    <row r="13" customFormat="false" ht="25.5" hidden="false" customHeight="true" outlineLevel="0" collapsed="false">
      <c r="A13" s="7" t="s">
        <v>98</v>
      </c>
      <c r="B13" s="26" t="s">
        <v>99</v>
      </c>
      <c r="C13" s="12" t="s">
        <v>100</v>
      </c>
      <c r="D13" s="12" t="s">
        <v>101</v>
      </c>
      <c r="E13" s="27" t="n">
        <f aca="false">Параметри!$C$23</f>
        <v>20</v>
      </c>
      <c r="F13" s="28"/>
      <c r="G13" s="29" t="n">
        <f aca="false">E13*F13</f>
        <v>0</v>
      </c>
      <c r="H13" s="8" t="s">
        <v>80</v>
      </c>
    </row>
    <row r="14" customFormat="false" ht="25.5" hidden="false" customHeight="true" outlineLevel="0" collapsed="false">
      <c r="A14" s="7" t="s">
        <v>102</v>
      </c>
      <c r="B14" s="26" t="s">
        <v>103</v>
      </c>
      <c r="C14" s="12" t="s">
        <v>100</v>
      </c>
      <c r="D14" s="12" t="s">
        <v>101</v>
      </c>
      <c r="E14" s="27" t="n">
        <f aca="false">Параметри!$C$23</f>
        <v>20</v>
      </c>
      <c r="F14" s="28"/>
      <c r="G14" s="29" t="n">
        <f aca="false">E14*F14</f>
        <v>0</v>
      </c>
      <c r="H14" s="8" t="s">
        <v>104</v>
      </c>
    </row>
    <row r="15" customFormat="false" ht="25.5" hidden="false" customHeight="true" outlineLevel="0" collapsed="false">
      <c r="A15" s="7" t="s">
        <v>105</v>
      </c>
      <c r="B15" s="26" t="s">
        <v>106</v>
      </c>
      <c r="C15" s="12" t="s">
        <v>100</v>
      </c>
      <c r="D15" s="12" t="s">
        <v>101</v>
      </c>
      <c r="E15" s="27" t="n">
        <f aca="false">Параметри!$C$23+Параметри!$C$24</f>
        <v>70</v>
      </c>
      <c r="F15" s="28"/>
      <c r="G15" s="29" t="n">
        <f aca="false">E15*F15</f>
        <v>0</v>
      </c>
      <c r="H15" s="8" t="s">
        <v>107</v>
      </c>
    </row>
    <row r="16" customFormat="false" ht="25.5" hidden="false" customHeight="true" outlineLevel="0" collapsed="false">
      <c r="A16" s="7" t="s">
        <v>108</v>
      </c>
      <c r="B16" s="26" t="s">
        <v>109</v>
      </c>
      <c r="C16" s="12" t="s">
        <v>100</v>
      </c>
      <c r="D16" s="12" t="s">
        <v>101</v>
      </c>
      <c r="E16" s="27" t="n">
        <f aca="false">Параметри!$C$24</f>
        <v>50</v>
      </c>
      <c r="F16" s="28"/>
      <c r="G16" s="29" t="n">
        <f aca="false">E16*F16</f>
        <v>0</v>
      </c>
      <c r="H16" s="8" t="s">
        <v>110</v>
      </c>
    </row>
    <row r="17" customFormat="false" ht="25.5" hidden="false" customHeight="true" outlineLevel="0" collapsed="false">
      <c r="A17" s="7" t="s">
        <v>111</v>
      </c>
      <c r="B17" s="26" t="s">
        <v>112</v>
      </c>
      <c r="C17" s="12" t="s">
        <v>100</v>
      </c>
      <c r="D17" s="12" t="s">
        <v>101</v>
      </c>
      <c r="E17" s="27" t="n">
        <f aca="false">Параметри!$C$24</f>
        <v>50</v>
      </c>
      <c r="F17" s="28"/>
      <c r="G17" s="29" t="n">
        <f aca="false">E17*F17</f>
        <v>0</v>
      </c>
      <c r="H17" s="8" t="s">
        <v>113</v>
      </c>
    </row>
    <row r="18" customFormat="false" ht="25.5" hidden="false" customHeight="true" outlineLevel="0" collapsed="false">
      <c r="A18" s="7" t="s">
        <v>114</v>
      </c>
      <c r="B18" s="26" t="s">
        <v>115</v>
      </c>
      <c r="C18" s="12" t="s">
        <v>100</v>
      </c>
      <c r="D18" s="12" t="s">
        <v>101</v>
      </c>
      <c r="E18" s="27" t="n">
        <f aca="false">Параметри!$C$23+Параметри!$C$24</f>
        <v>70</v>
      </c>
      <c r="F18" s="28"/>
      <c r="G18" s="29" t="n">
        <f aca="false">E18*F18</f>
        <v>0</v>
      </c>
      <c r="H18" s="8" t="s">
        <v>116</v>
      </c>
    </row>
    <row r="19" customFormat="false" ht="25.5" hidden="false" customHeight="true" outlineLevel="0" collapsed="false">
      <c r="A19" s="7" t="s">
        <v>117</v>
      </c>
      <c r="B19" s="26" t="s">
        <v>118</v>
      </c>
      <c r="C19" s="12" t="s">
        <v>74</v>
      </c>
      <c r="D19" s="12" t="s">
        <v>119</v>
      </c>
      <c r="E19" s="27" t="n">
        <f aca="false">Параметри!$C$18</f>
        <v>3</v>
      </c>
      <c r="F19" s="28"/>
      <c r="G19" s="29" t="n">
        <f aca="false">E19*F19</f>
        <v>0</v>
      </c>
      <c r="H19" s="8" t="s">
        <v>120</v>
      </c>
    </row>
    <row r="20" customFormat="false" ht="15" hidden="false" customHeight="true" outlineLevel="0" collapsed="false">
      <c r="A20" s="22" t="s">
        <v>121</v>
      </c>
      <c r="B20" s="23" t="s">
        <v>122</v>
      </c>
      <c r="C20" s="24"/>
      <c r="D20" s="24"/>
      <c r="E20" s="24"/>
      <c r="F20" s="24"/>
      <c r="G20" s="25" t="n">
        <f aca="false">SUM(G21:G25)</f>
        <v>0</v>
      </c>
      <c r="H20" s="24"/>
    </row>
    <row r="21" customFormat="false" ht="25.5" hidden="false" customHeight="true" outlineLevel="0" collapsed="false">
      <c r="A21" s="7" t="s">
        <v>123</v>
      </c>
      <c r="B21" s="26" t="s">
        <v>124</v>
      </c>
      <c r="C21" s="12" t="s">
        <v>125</v>
      </c>
      <c r="D21" s="12" t="s">
        <v>10</v>
      </c>
      <c r="E21" s="27" t="n">
        <f aca="false">Параметри!$C$5</f>
        <v>50</v>
      </c>
      <c r="F21" s="28"/>
      <c r="G21" s="29" t="n">
        <f aca="false">E21*F21</f>
        <v>0</v>
      </c>
      <c r="H21" s="8" t="s">
        <v>126</v>
      </c>
    </row>
    <row r="22" customFormat="false" ht="25.5" hidden="false" customHeight="true" outlineLevel="0" collapsed="false">
      <c r="A22" s="7" t="s">
        <v>127</v>
      </c>
      <c r="B22" s="26" t="s">
        <v>128</v>
      </c>
      <c r="C22" s="12" t="s">
        <v>125</v>
      </c>
      <c r="D22" s="12" t="s">
        <v>10</v>
      </c>
      <c r="E22" s="27" t="n">
        <f aca="false">Параметри!$C$5*Параметри!$C$7</f>
        <v>100</v>
      </c>
      <c r="F22" s="28"/>
      <c r="G22" s="29" t="n">
        <f aca="false">E22*F22</f>
        <v>0</v>
      </c>
      <c r="H22" s="8" t="s">
        <v>129</v>
      </c>
    </row>
    <row r="23" customFormat="false" ht="25.5" hidden="false" customHeight="true" outlineLevel="0" collapsed="false">
      <c r="A23" s="7" t="s">
        <v>130</v>
      </c>
      <c r="B23" s="26" t="s">
        <v>131</v>
      </c>
      <c r="C23" s="12" t="s">
        <v>125</v>
      </c>
      <c r="D23" s="12" t="s">
        <v>132</v>
      </c>
      <c r="E23" s="27" t="n">
        <f aca="false">Параметри!$C$5</f>
        <v>50</v>
      </c>
      <c r="F23" s="28"/>
      <c r="G23" s="29" t="n">
        <f aca="false">E23*F23</f>
        <v>0</v>
      </c>
      <c r="H23" s="8" t="s">
        <v>126</v>
      </c>
    </row>
    <row r="24" customFormat="false" ht="25.5" hidden="false" customHeight="true" outlineLevel="0" collapsed="false">
      <c r="A24" s="7" t="s">
        <v>133</v>
      </c>
      <c r="B24" s="26" t="s">
        <v>134</v>
      </c>
      <c r="C24" s="12" t="s">
        <v>125</v>
      </c>
      <c r="D24" s="12" t="s">
        <v>135</v>
      </c>
      <c r="E24" s="27" t="n">
        <f aca="false">(Параметри!$C$23+Параметри!$C$24)*Параметри!$C$8</f>
        <v>1400</v>
      </c>
      <c r="F24" s="28"/>
      <c r="G24" s="29" t="n">
        <f aca="false">E24*F24</f>
        <v>0</v>
      </c>
      <c r="H24" s="8" t="s">
        <v>136</v>
      </c>
    </row>
    <row r="25" customFormat="false" ht="25.5" hidden="false" customHeight="true" outlineLevel="0" collapsed="false">
      <c r="A25" s="7" t="s">
        <v>137</v>
      </c>
      <c r="B25" s="26" t="s">
        <v>138</v>
      </c>
      <c r="C25" s="12" t="s">
        <v>125</v>
      </c>
      <c r="D25" s="12" t="s">
        <v>132</v>
      </c>
      <c r="E25" s="30"/>
      <c r="F25" s="28"/>
      <c r="G25" s="29" t="n">
        <f aca="false">E25*F25</f>
        <v>0</v>
      </c>
      <c r="H25" s="8" t="s">
        <v>139</v>
      </c>
    </row>
    <row r="26" customFormat="false" ht="15" hidden="false" customHeight="true" outlineLevel="0" collapsed="false">
      <c r="A26" s="22" t="s">
        <v>140</v>
      </c>
      <c r="B26" s="23" t="s">
        <v>141</v>
      </c>
      <c r="C26" s="24"/>
      <c r="D26" s="24"/>
      <c r="E26" s="24"/>
      <c r="F26" s="24"/>
      <c r="G26" s="25" t="n">
        <f aca="false">SUM(G27:G32)</f>
        <v>0</v>
      </c>
      <c r="H26" s="24"/>
    </row>
    <row r="27" customFormat="false" ht="25.5" hidden="false" customHeight="true" outlineLevel="0" collapsed="false">
      <c r="A27" s="7" t="s">
        <v>142</v>
      </c>
      <c r="B27" s="26" t="s">
        <v>143</v>
      </c>
      <c r="C27" s="12" t="s">
        <v>74</v>
      </c>
      <c r="D27" s="12" t="s">
        <v>144</v>
      </c>
      <c r="E27" s="27" t="n">
        <f aca="false">2</f>
        <v>2</v>
      </c>
      <c r="F27" s="28"/>
      <c r="G27" s="29" t="n">
        <f aca="false">E27*F27</f>
        <v>0</v>
      </c>
      <c r="H27" s="8" t="s">
        <v>145</v>
      </c>
    </row>
    <row r="28" customFormat="false" ht="25.5" hidden="false" customHeight="true" outlineLevel="0" collapsed="false">
      <c r="A28" s="7" t="s">
        <v>146</v>
      </c>
      <c r="B28" s="26" t="s">
        <v>147</v>
      </c>
      <c r="C28" s="12" t="s">
        <v>148</v>
      </c>
      <c r="D28" s="12" t="s">
        <v>32</v>
      </c>
      <c r="E28" s="27" t="n">
        <f aca="false">Параметри!$C$28</f>
        <v>14</v>
      </c>
      <c r="F28" s="28"/>
      <c r="G28" s="29" t="n">
        <f aca="false">E28*F28</f>
        <v>0</v>
      </c>
      <c r="H28" s="8" t="s">
        <v>149</v>
      </c>
    </row>
    <row r="29" customFormat="false" ht="25.5" hidden="false" customHeight="true" outlineLevel="0" collapsed="false">
      <c r="A29" s="7" t="s">
        <v>150</v>
      </c>
      <c r="B29" s="26" t="s">
        <v>151</v>
      </c>
      <c r="C29" s="12" t="s">
        <v>148</v>
      </c>
      <c r="D29" s="12" t="s">
        <v>152</v>
      </c>
      <c r="E29" s="27" t="n">
        <f aca="false">Параметри!$C$28*Параметри!$C$27</f>
        <v>266</v>
      </c>
      <c r="F29" s="28"/>
      <c r="G29" s="29" t="n">
        <f aca="false">E29*F29</f>
        <v>0</v>
      </c>
      <c r="H29" s="8" t="s">
        <v>153</v>
      </c>
    </row>
    <row r="30" customFormat="false" ht="25.5" hidden="false" customHeight="true" outlineLevel="0" collapsed="false">
      <c r="A30" s="7" t="s">
        <v>154</v>
      </c>
      <c r="B30" s="26" t="s">
        <v>155</v>
      </c>
      <c r="C30" s="12" t="s">
        <v>148</v>
      </c>
      <c r="D30" s="12" t="s">
        <v>75</v>
      </c>
      <c r="E30" s="27" t="n">
        <f aca="false">Параметри!$C$28*Параметри!$C$27</f>
        <v>266</v>
      </c>
      <c r="F30" s="28"/>
      <c r="G30" s="29" t="n">
        <f aca="false">E30*F30</f>
        <v>0</v>
      </c>
      <c r="H30" s="8" t="s">
        <v>156</v>
      </c>
    </row>
    <row r="31" customFormat="false" ht="25.5" hidden="false" customHeight="true" outlineLevel="0" collapsed="false">
      <c r="A31" s="7" t="s">
        <v>157</v>
      </c>
      <c r="B31" s="26" t="s">
        <v>158</v>
      </c>
      <c r="C31" s="12" t="s">
        <v>148</v>
      </c>
      <c r="D31" s="12" t="s">
        <v>75</v>
      </c>
      <c r="E31" s="27" t="n">
        <f aca="false">Параметри!$C$28*Параметри!$C$27</f>
        <v>266</v>
      </c>
      <c r="F31" s="28"/>
      <c r="G31" s="29" t="n">
        <f aca="false">E31*F31</f>
        <v>0</v>
      </c>
      <c r="H31" s="8" t="s">
        <v>159</v>
      </c>
    </row>
    <row r="32" customFormat="false" ht="25.5" hidden="false" customHeight="true" outlineLevel="0" collapsed="false">
      <c r="A32" s="7" t="s">
        <v>160</v>
      </c>
      <c r="B32" s="26" t="s">
        <v>161</v>
      </c>
      <c r="C32" s="12" t="s">
        <v>162</v>
      </c>
      <c r="D32" s="12" t="s">
        <v>135</v>
      </c>
      <c r="E32" s="30"/>
      <c r="F32" s="28"/>
      <c r="G32" s="29" t="n">
        <f aca="false">E32*F32</f>
        <v>0</v>
      </c>
      <c r="H32" s="8" t="s">
        <v>139</v>
      </c>
    </row>
    <row r="33" customFormat="false" ht="15" hidden="false" customHeight="true" outlineLevel="0" collapsed="false">
      <c r="A33" s="22" t="s">
        <v>163</v>
      </c>
      <c r="B33" s="23" t="s">
        <v>164</v>
      </c>
      <c r="C33" s="24"/>
      <c r="D33" s="24"/>
      <c r="E33" s="24"/>
      <c r="F33" s="24"/>
      <c r="G33" s="25" t="n">
        <f aca="false">SUM(G34:G40)</f>
        <v>0</v>
      </c>
      <c r="H33" s="24"/>
    </row>
    <row r="34" customFormat="false" ht="25.5" hidden="false" customHeight="true" outlineLevel="0" collapsed="false">
      <c r="A34" s="7" t="s">
        <v>165</v>
      </c>
      <c r="B34" s="26" t="s">
        <v>166</v>
      </c>
      <c r="C34" s="12" t="s">
        <v>100</v>
      </c>
      <c r="D34" s="12" t="s">
        <v>132</v>
      </c>
      <c r="E34" s="27" t="n">
        <f aca="false">Параметри!$C$17+Параметри!$C$18</f>
        <v>5</v>
      </c>
      <c r="F34" s="28"/>
      <c r="G34" s="29" t="n">
        <f aca="false">E34*F34</f>
        <v>0</v>
      </c>
      <c r="H34" s="8" t="s">
        <v>167</v>
      </c>
    </row>
    <row r="35" customFormat="false" ht="25.5" hidden="false" customHeight="true" outlineLevel="0" collapsed="false">
      <c r="A35" s="7" t="s">
        <v>168</v>
      </c>
      <c r="B35" s="26" t="s">
        <v>169</v>
      </c>
      <c r="C35" s="12" t="s">
        <v>125</v>
      </c>
      <c r="D35" s="12" t="s">
        <v>75</v>
      </c>
      <c r="E35" s="27" t="n">
        <f aca="false">Параметри!$C$28*Параметри!$C$27</f>
        <v>266</v>
      </c>
      <c r="F35" s="28"/>
      <c r="G35" s="29" t="n">
        <f aca="false">E35*F35</f>
        <v>0</v>
      </c>
      <c r="H35" s="8" t="s">
        <v>153</v>
      </c>
    </row>
    <row r="36" customFormat="false" ht="25.5" hidden="false" customHeight="true" outlineLevel="0" collapsed="false">
      <c r="A36" s="7" t="s">
        <v>170</v>
      </c>
      <c r="B36" s="26" t="s">
        <v>171</v>
      </c>
      <c r="C36" s="12" t="s">
        <v>125</v>
      </c>
      <c r="D36" s="12" t="s">
        <v>132</v>
      </c>
      <c r="E36" s="27" t="n">
        <f aca="false">Параметри!$C$28</f>
        <v>14</v>
      </c>
      <c r="F36" s="28"/>
      <c r="G36" s="29" t="n">
        <f aca="false">E36*F36</f>
        <v>0</v>
      </c>
      <c r="H36" s="8" t="s">
        <v>172</v>
      </c>
    </row>
    <row r="37" customFormat="false" ht="25.5" hidden="false" customHeight="true" outlineLevel="0" collapsed="false">
      <c r="A37" s="7" t="s">
        <v>173</v>
      </c>
      <c r="B37" s="26" t="s">
        <v>174</v>
      </c>
      <c r="C37" s="12" t="s">
        <v>125</v>
      </c>
      <c r="D37" s="12" t="s">
        <v>132</v>
      </c>
      <c r="E37" s="27" t="n">
        <f aca="false">Параметри!$C$28</f>
        <v>14</v>
      </c>
      <c r="F37" s="28"/>
      <c r="G37" s="29" t="n">
        <f aca="false">E37*F37</f>
        <v>0</v>
      </c>
      <c r="H37" s="8" t="s">
        <v>172</v>
      </c>
    </row>
    <row r="38" customFormat="false" ht="25.5" hidden="false" customHeight="true" outlineLevel="0" collapsed="false">
      <c r="A38" s="7" t="s">
        <v>175</v>
      </c>
      <c r="B38" s="26" t="s">
        <v>176</v>
      </c>
      <c r="C38" s="12" t="s">
        <v>125</v>
      </c>
      <c r="D38" s="12" t="s">
        <v>132</v>
      </c>
      <c r="E38" s="30"/>
      <c r="F38" s="28"/>
      <c r="G38" s="29" t="n">
        <f aca="false">E38*F38</f>
        <v>0</v>
      </c>
      <c r="H38" s="8" t="s">
        <v>139</v>
      </c>
    </row>
    <row r="39" customFormat="false" ht="25.5" hidden="false" customHeight="true" outlineLevel="0" collapsed="false">
      <c r="A39" s="7" t="s">
        <v>177</v>
      </c>
      <c r="B39" s="26" t="s">
        <v>178</v>
      </c>
      <c r="C39" s="12" t="s">
        <v>100</v>
      </c>
      <c r="D39" s="12" t="s">
        <v>179</v>
      </c>
      <c r="E39" s="30"/>
      <c r="F39" s="28"/>
      <c r="G39" s="29" t="n">
        <f aca="false">E39*F39</f>
        <v>0</v>
      </c>
      <c r="H39" s="8" t="s">
        <v>180</v>
      </c>
    </row>
    <row r="40" customFormat="false" ht="25.5" hidden="false" customHeight="true" outlineLevel="0" collapsed="false">
      <c r="A40" s="7" t="s">
        <v>181</v>
      </c>
      <c r="B40" s="26" t="s">
        <v>182</v>
      </c>
      <c r="C40" s="12" t="s">
        <v>125</v>
      </c>
      <c r="D40" s="12" t="s">
        <v>132</v>
      </c>
      <c r="E40" s="27" t="n">
        <f aca="false">Параметри!$C$17+Параметри!$C$18</f>
        <v>5</v>
      </c>
      <c r="F40" s="28"/>
      <c r="G40" s="29" t="n">
        <f aca="false">E40*F40</f>
        <v>0</v>
      </c>
      <c r="H40" s="8" t="s">
        <v>167</v>
      </c>
    </row>
    <row r="41" customFormat="false" ht="15" hidden="false" customHeight="true" outlineLevel="0" collapsed="false">
      <c r="A41" s="22" t="s">
        <v>183</v>
      </c>
      <c r="B41" s="23" t="s">
        <v>184</v>
      </c>
      <c r="C41" s="24"/>
      <c r="D41" s="24"/>
      <c r="E41" s="24"/>
      <c r="F41" s="24"/>
      <c r="G41" s="25" t="n">
        <f aca="false">SUM(G42:G45)</f>
        <v>0</v>
      </c>
      <c r="H41" s="24"/>
    </row>
    <row r="42" customFormat="false" ht="25.5" hidden="false" customHeight="true" outlineLevel="0" collapsed="false">
      <c r="A42" s="7" t="s">
        <v>185</v>
      </c>
      <c r="B42" s="26" t="s">
        <v>186</v>
      </c>
      <c r="C42" s="12" t="s">
        <v>74</v>
      </c>
      <c r="D42" s="12" t="s">
        <v>132</v>
      </c>
      <c r="E42" s="27" t="n">
        <f aca="false">1</f>
        <v>1</v>
      </c>
      <c r="F42" s="28"/>
      <c r="G42" s="29" t="n">
        <f aca="false">E42*F42</f>
        <v>0</v>
      </c>
      <c r="H42" s="8" t="s">
        <v>187</v>
      </c>
    </row>
    <row r="43" customFormat="false" ht="25.5" hidden="false" customHeight="true" outlineLevel="0" collapsed="false">
      <c r="A43" s="7" t="s">
        <v>188</v>
      </c>
      <c r="B43" s="26" t="s">
        <v>189</v>
      </c>
      <c r="C43" s="12" t="s">
        <v>74</v>
      </c>
      <c r="D43" s="12" t="s">
        <v>190</v>
      </c>
      <c r="E43" s="30"/>
      <c r="F43" s="28"/>
      <c r="G43" s="29" t="n">
        <f aca="false">E43*F43</f>
        <v>0</v>
      </c>
      <c r="H43" s="8" t="s">
        <v>139</v>
      </c>
    </row>
    <row r="44" customFormat="false" ht="25.5" hidden="false" customHeight="true" outlineLevel="0" collapsed="false">
      <c r="A44" s="7" t="s">
        <v>191</v>
      </c>
      <c r="B44" s="26" t="s">
        <v>192</v>
      </c>
      <c r="C44" s="12" t="s">
        <v>125</v>
      </c>
      <c r="D44" s="12" t="s">
        <v>132</v>
      </c>
      <c r="E44" s="27" t="n">
        <f aca="false">Параметри!$C$28</f>
        <v>14</v>
      </c>
      <c r="F44" s="28"/>
      <c r="G44" s="29" t="n">
        <f aca="false">E44*F44</f>
        <v>0</v>
      </c>
      <c r="H44" s="8" t="s">
        <v>172</v>
      </c>
    </row>
    <row r="45" customFormat="false" ht="25.5" hidden="false" customHeight="true" outlineLevel="0" collapsed="false">
      <c r="A45" s="7" t="s">
        <v>193</v>
      </c>
      <c r="B45" s="26" t="s">
        <v>194</v>
      </c>
      <c r="C45" s="12" t="s">
        <v>74</v>
      </c>
      <c r="D45" s="12" t="s">
        <v>195</v>
      </c>
      <c r="E45" s="27" t="n">
        <f aca="false">1</f>
        <v>1</v>
      </c>
      <c r="F45" s="28"/>
      <c r="G45" s="29" t="n">
        <f aca="false">E45*F45</f>
        <v>0</v>
      </c>
      <c r="H45" s="8" t="s">
        <v>196</v>
      </c>
    </row>
    <row r="46" customFormat="false" ht="21.75" hidden="false" customHeight="true" outlineLevel="0" collapsed="false">
      <c r="A46" s="24"/>
      <c r="B46" s="31" t="s">
        <v>197</v>
      </c>
      <c r="C46" s="24"/>
      <c r="D46" s="24"/>
      <c r="E46" s="24"/>
      <c r="F46" s="24"/>
      <c r="G46" s="25" t="n">
        <f aca="false">G4+G12+G20+G26+G33+G41</f>
        <v>0</v>
      </c>
      <c r="H46" s="24"/>
    </row>
    <row r="47" customFormat="false" ht="19.5" hidden="false" customHeight="true" outlineLevel="0" collapsed="false">
      <c r="A47" s="32"/>
      <c r="B47" s="33" t="s">
        <v>15</v>
      </c>
      <c r="C47" s="32"/>
      <c r="D47" s="32"/>
      <c r="E47" s="32"/>
      <c r="F47" s="34" t="n">
        <f aca="false">Параметри!$C$9</f>
        <v>0.12</v>
      </c>
      <c r="G47" s="35" t="n">
        <f aca="false">G46*Параметри!$C$9</f>
        <v>0</v>
      </c>
      <c r="H47" s="32"/>
    </row>
    <row r="48" customFormat="false" ht="25.5" hidden="false" customHeight="true" outlineLevel="0" collapsed="false">
      <c r="A48" s="36"/>
      <c r="B48" s="37" t="s">
        <v>198</v>
      </c>
      <c r="C48" s="36"/>
      <c r="D48" s="36"/>
      <c r="E48" s="36"/>
      <c r="F48" s="36"/>
      <c r="G48" s="38" t="n">
        <f aca="false">G46+G47</f>
        <v>0</v>
      </c>
      <c r="H48" s="36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C5:C11 C13:C19 C21:C25 C27:C32 C34:C40 C42:C45" type="list">
      <formula1>Довідники!$A$2:$A$7</formula1>
      <formula2>0</formula2>
    </dataValidation>
    <dataValidation allowBlank="true" errorStyle="stop" operator="between" showDropDown="false" showErrorMessage="false" showInputMessage="false" sqref="D5:D11 D13:D19 D21:D25 D27:D32 D34:D40 D42:D45" type="list">
      <formula1>Довідники!$B$2:$B$12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2"/>
  </cols>
  <sheetData>
    <row r="1" customFormat="false" ht="27.75" hidden="false" customHeight="true" outlineLevel="0" collapsed="false">
      <c r="B1" s="2" t="s">
        <v>199</v>
      </c>
      <c r="C1" s="2"/>
      <c r="D1" s="2"/>
    </row>
    <row r="3" customFormat="false" ht="21.75" hidden="false" customHeight="true" outlineLevel="0" collapsed="false">
      <c r="B3" s="39" t="s">
        <v>200</v>
      </c>
      <c r="C3" s="39" t="s">
        <v>68</v>
      </c>
      <c r="D3" s="39" t="s">
        <v>201</v>
      </c>
    </row>
    <row r="4" customFormat="false" ht="19.5" hidden="false" customHeight="true" outlineLevel="0" collapsed="false">
      <c r="B4" s="5" t="s">
        <v>202</v>
      </c>
      <c r="C4" s="29" t="n">
        <f aca="false">'RBS ресурсів'!G4</f>
        <v>0</v>
      </c>
      <c r="D4" s="40" t="n">
        <f aca="false">IF($C$10=0,0,C4/$C$10)</f>
        <v>0</v>
      </c>
    </row>
    <row r="5" customFormat="false" ht="19.5" hidden="false" customHeight="true" outlineLevel="0" collapsed="false">
      <c r="B5" s="5" t="s">
        <v>203</v>
      </c>
      <c r="C5" s="29" t="n">
        <f aca="false">'RBS ресурсів'!G12</f>
        <v>0</v>
      </c>
      <c r="D5" s="40" t="n">
        <f aca="false">IF($C$10=0,0,C5/$C$10)</f>
        <v>0</v>
      </c>
    </row>
    <row r="6" customFormat="false" ht="19.5" hidden="false" customHeight="true" outlineLevel="0" collapsed="false">
      <c r="B6" s="5" t="s">
        <v>204</v>
      </c>
      <c r="C6" s="29" t="n">
        <f aca="false">'RBS ресурсів'!G20</f>
        <v>0</v>
      </c>
      <c r="D6" s="40" t="n">
        <f aca="false">IF($C$10=0,0,C6/$C$10)</f>
        <v>0</v>
      </c>
    </row>
    <row r="7" customFormat="false" ht="19.5" hidden="false" customHeight="true" outlineLevel="0" collapsed="false">
      <c r="B7" s="5" t="s">
        <v>205</v>
      </c>
      <c r="C7" s="29" t="n">
        <f aca="false">'RBS ресурсів'!G26</f>
        <v>0</v>
      </c>
      <c r="D7" s="40" t="n">
        <f aca="false">IF($C$10=0,0,C7/$C$10)</f>
        <v>0</v>
      </c>
    </row>
    <row r="8" customFormat="false" ht="19.5" hidden="false" customHeight="true" outlineLevel="0" collapsed="false">
      <c r="B8" s="5" t="s">
        <v>206</v>
      </c>
      <c r="C8" s="29" t="n">
        <f aca="false">'RBS ресурсів'!G33</f>
        <v>0</v>
      </c>
      <c r="D8" s="40" t="n">
        <f aca="false">IF($C$10=0,0,C8/$C$10)</f>
        <v>0</v>
      </c>
    </row>
    <row r="9" customFormat="false" ht="19.5" hidden="false" customHeight="true" outlineLevel="0" collapsed="false">
      <c r="B9" s="5" t="s">
        <v>207</v>
      </c>
      <c r="C9" s="29" t="n">
        <f aca="false">'RBS ресурсів'!G41</f>
        <v>0</v>
      </c>
      <c r="D9" s="40" t="n">
        <f aca="false">IF($C$10=0,0,C9/$C$10)</f>
        <v>0</v>
      </c>
    </row>
    <row r="10" customFormat="false" ht="15" hidden="false" customHeight="true" outlineLevel="0" collapsed="false">
      <c r="B10" s="41" t="s">
        <v>208</v>
      </c>
      <c r="C10" s="42" t="n">
        <f aca="false">SUM(C4:C9)</f>
        <v>0</v>
      </c>
      <c r="D10" s="32"/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6"/>
  </cols>
  <sheetData>
    <row r="1" customFormat="false" ht="25.5" hidden="false" customHeight="true" outlineLevel="0" collapsed="false">
      <c r="A1" s="43" t="s">
        <v>209</v>
      </c>
      <c r="B1" s="43" t="s">
        <v>65</v>
      </c>
    </row>
    <row r="2" customFormat="false" ht="15" hidden="false" customHeight="true" outlineLevel="0" collapsed="false">
      <c r="A2" s="5" t="s">
        <v>100</v>
      </c>
      <c r="B2" s="5" t="s">
        <v>75</v>
      </c>
    </row>
    <row r="3" customFormat="false" ht="15" hidden="false" customHeight="true" outlineLevel="0" collapsed="false">
      <c r="A3" s="5" t="s">
        <v>125</v>
      </c>
      <c r="B3" s="5" t="s">
        <v>101</v>
      </c>
    </row>
    <row r="4" customFormat="false" ht="15" hidden="false" customHeight="true" outlineLevel="0" collapsed="false">
      <c r="A4" s="5" t="s">
        <v>74</v>
      </c>
      <c r="B4" s="5" t="s">
        <v>10</v>
      </c>
    </row>
    <row r="5" customFormat="false" ht="15" hidden="false" customHeight="true" outlineLevel="0" collapsed="false">
      <c r="A5" s="5" t="s">
        <v>79</v>
      </c>
      <c r="B5" s="5" t="s">
        <v>132</v>
      </c>
    </row>
    <row r="6" customFormat="false" ht="15" hidden="false" customHeight="true" outlineLevel="0" collapsed="false">
      <c r="A6" s="5" t="s">
        <v>148</v>
      </c>
      <c r="B6" s="5" t="s">
        <v>135</v>
      </c>
    </row>
    <row r="7" customFormat="false" ht="15" hidden="false" customHeight="true" outlineLevel="0" collapsed="false">
      <c r="A7" s="5" t="s">
        <v>162</v>
      </c>
      <c r="B7" s="5" t="s">
        <v>152</v>
      </c>
    </row>
    <row r="8" customFormat="false" ht="15" hidden="false" customHeight="true" outlineLevel="0" collapsed="false">
      <c r="B8" s="5" t="s">
        <v>144</v>
      </c>
    </row>
    <row r="9" customFormat="false" ht="15" hidden="false" customHeight="true" outlineLevel="0" collapsed="false">
      <c r="B9" s="5" t="s">
        <v>119</v>
      </c>
    </row>
    <row r="10" customFormat="false" ht="15" hidden="false" customHeight="true" outlineLevel="0" collapsed="false">
      <c r="B10" s="5" t="s">
        <v>195</v>
      </c>
    </row>
    <row r="11" customFormat="false" ht="15" hidden="false" customHeight="true" outlineLevel="0" collapsed="false">
      <c r="B11" s="5" t="s">
        <v>179</v>
      </c>
    </row>
    <row r="12" customFormat="false" ht="15" hidden="false" customHeight="true" outlineLevel="0" collapsed="false">
      <c r="B12" s="5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2026-07-26T06:01:08Z</dcterms:created>
  <dc:creator>openpyxl</dc:creator>
  <dc:description/>
  <dc:language>en-US</dc:language>
  <cp:lastModifiedBy/>
  <dcterms:modified xsi:type="dcterms:W3CDTF">2026-07-26T09:22:52Z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