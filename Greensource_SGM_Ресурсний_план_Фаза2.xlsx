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Параметри" sheetId="2" state="visible" r:id="rId4"/>
    <sheet name="Ресурсний план" sheetId="3" state="visible" r:id="rId5"/>
    <sheet name="Довідни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ОУП</author>
  </authors>
  <commentList>
    <comment ref="C24" authorId="0">
      <text>
        <r>
          <rPr>
            <sz val="10"/>
            <rFont val="Arial"/>
            <family val="2"/>
          </rPr>
          <t xml:space="preserve">Бригадо-дні = обсяг / продуктивність. Драйвер вартості персоналу й оренди.</t>
        </r>
      </text>
    </comment>
  </commentList>
</comments>
</file>

<file path=xl/sharedStrings.xml><?xml version="1.0" encoding="utf-8"?>
<sst xmlns="http://schemas.openxmlformats.org/spreadsheetml/2006/main" count="331" uniqueCount="190">
  <si>
    <t xml:space="preserve">Greensource SGM 110 MWp · Ресурсний план випробувань паль · Фаза 2 (50 точок)</t>
  </si>
  <si>
    <t xml:space="preserve">Шаблон для заповнення · валюта € · масштабування від Фази 1 (5 точок) · ред. 1.0</t>
  </si>
  <si>
    <t xml:space="preserve">Мета</t>
  </si>
  <si>
    <t xml:space="preserve">Спланувати всі ресурси Фази 2 — польові випробування 50 точок (виривання + стиск), переважно геошурупи з попереднім бурінням (предрил). Шаблон для поетапного дозаповнення: змінюєте вхідні дані на листі «Параметри» — кількості й підсумки перераховуються самі.</t>
  </si>
  <si>
    <t xml:space="preserve">Уроки Фази 1 (враховано)</t>
  </si>
  <si>
    <t xml:space="preserve">Продуктивність</t>
  </si>
  <si>
    <t xml:space="preserve">Монтаж — 5 точок за 2 дні = 2,5 точки/день/бригада. Тестування — 5 точок за 5 днів одним експертом = 1 точка/день/бригада. Саме тестування — вузьке місце для 50 точок.</t>
  </si>
  <si>
    <t xml:space="preserve">Обладнання</t>
  </si>
  <si>
    <t xml:space="preserve">ГАЙК (гайковерт/копер для вкручення й забиття), предрил-установка (буріння під геошурупи), квадроцикл (переміщення полем), окремі комплекти для «виривання» і «стиск», генератор, повірка приладів.</t>
  </si>
  <si>
    <t xml:space="preserve">Що легко забути</t>
  </si>
  <si>
    <t xml:space="preserve">Реакційні анкери для pull-out, мобілізація/демобілізація, витратники предрилу, ГСМ, повне відрядження бригад, польові умови (жара/дощ/вода), резерв на непередбачене.</t>
  </si>
  <si>
    <t xml:space="preserve">Структура файлу</t>
  </si>
  <si>
    <t xml:space="preserve">1. Параметри</t>
  </si>
  <si>
    <t xml:space="preserve">Вхідні дані + калькулятор: скільки тест-бригад і яка тривалість. Тут і тільки тут міняєте цифри.</t>
  </si>
  <si>
    <t xml:space="preserve">2. Ресурсний план</t>
  </si>
  <si>
    <t xml:space="preserve">7 розділів (персонал, обладнання, матеріали, логістика/відрядження, польові умови, документи/ТБ, резерв). Кількості — формули від «Параметрів»; ставки € — заповнюєте ви; вартість рахується сама.</t>
  </si>
  <si>
    <t xml:space="preserve">3. Довідники</t>
  </si>
  <si>
    <t xml:space="preserve">Списки для випадаючих меню (тип статті, одиниці, категорія).</t>
  </si>
  <si>
    <t xml:space="preserve">Відрядження</t>
  </si>
  <si>
    <t xml:space="preserve">Блок «Логістика та відрядження» вести за внутрішнім положенням про відрядження; закриття — через авансовий звіт (див. каталог процедур).</t>
  </si>
  <si>
    <t xml:space="preserve">Як заповнювати</t>
  </si>
  <si>
    <t xml:space="preserve">Сині комірки</t>
  </si>
  <si>
    <t xml:space="preserve">Синій текст + жовте тло = ваш ввід (ставки €, окремі кількості). Чорні — формули, не чіпати.</t>
  </si>
  <si>
    <t xml:space="preserve">Розрахунок бригад</t>
  </si>
  <si>
    <t xml:space="preserve">Лист «Параметри», блок 5: таблиця 1–4 тест-бригади → тривалість. Рядок 3 бригади підсвічено як орієнтир.</t>
  </si>
  <si>
    <t xml:space="preserve">Легенда</t>
  </si>
  <si>
    <t xml:space="preserve">Поле для заповнення (ваш ввід)</t>
  </si>
  <si>
    <t xml:space="preserve">Формула / авто-розрахунок</t>
  </si>
  <si>
    <t xml:space="preserve">Заголовок / підсумок</t>
  </si>
  <si>
    <t xml:space="preserve">Параметри та калькулятор Фази 2</t>
  </si>
  <si>
    <t xml:space="preserve">1. ОБСЯГ РОБІТ ТА БАЗОВІ ДОПУЩЕННЯ</t>
  </si>
  <si>
    <t xml:space="preserve">Всього точок (Фаза 2)</t>
  </si>
  <si>
    <t xml:space="preserve">точок</t>
  </si>
  <si>
    <t xml:space="preserve">— з них геошурупи (з предрилом)</t>
  </si>
  <si>
    <t xml:space="preserve">переважно шурупи</t>
  </si>
  <si>
    <t xml:space="preserve">— з них забивні палі</t>
  </si>
  <si>
    <t xml:space="preserve">Випробування «виривання» (pull-out)</t>
  </si>
  <si>
    <t xml:space="preserve">Так</t>
  </si>
  <si>
    <t xml:space="preserve">осьове розтягнення</t>
  </si>
  <si>
    <t xml:space="preserve">Випробування «стиск» (compression)</t>
  </si>
  <si>
    <t xml:space="preserve">осьове вдавлювання</t>
  </si>
  <si>
    <t xml:space="preserve">Реакційних анкерів на точку</t>
  </si>
  <si>
    <t xml:space="preserve">шт</t>
  </si>
  <si>
    <t xml:space="preserve">для pull-out; скоригуйте</t>
  </si>
  <si>
    <t xml:space="preserve">Резерв на непередбачене</t>
  </si>
  <si>
    <t xml:space="preserve">%</t>
  </si>
  <si>
    <t xml:space="preserve">частка від суми</t>
  </si>
  <si>
    <t xml:space="preserve">2. ПРОДУКТИВНІСТЬ (ФАКТ ФАЗИ 1)</t>
  </si>
  <si>
    <t xml:space="preserve">Монтаж: точок/день/бригада</t>
  </si>
  <si>
    <t xml:space="preserve">точ/дн</t>
  </si>
  <si>
    <t xml:space="preserve">Фаза 1: 5 точок за 2 дні</t>
  </si>
  <si>
    <t xml:space="preserve">Тестування: точок/день/бригада</t>
  </si>
  <si>
    <t xml:space="preserve">Фаза 1: 5 точок за 5 днів, 1 експерт</t>
  </si>
  <si>
    <t xml:space="preserve">Робочих днів на тиждень</t>
  </si>
  <si>
    <t xml:space="preserve">дн</t>
  </si>
  <si>
    <t xml:space="preserve">3. БРИГАДИ ТА СКЛАД (РІШЕННЯ)</t>
  </si>
  <si>
    <t xml:space="preserve">Монтажних бригад</t>
  </si>
  <si>
    <t xml:space="preserve">бригад</t>
  </si>
  <si>
    <t xml:space="preserve">Тестових бригад</t>
  </si>
  <si>
    <t xml:space="preserve">орієнтир — мінімум 3</t>
  </si>
  <si>
    <t xml:space="preserve">Розмір монтажної бригади</t>
  </si>
  <si>
    <t xml:space="preserve">осіб</t>
  </si>
  <si>
    <t xml:space="preserve">Розмір тестової бригади</t>
  </si>
  <si>
    <t xml:space="preserve">експерт + технік</t>
  </si>
  <si>
    <t xml:space="preserve">4. РОЗРАХУНОК (АВТО — не редагувати)</t>
  </si>
  <si>
    <t xml:space="preserve">Монтаж — бригадо-днів (всього)</t>
  </si>
  <si>
    <t xml:space="preserve">бр-дн</t>
  </si>
  <si>
    <t xml:space="preserve">Тестування — бригадо-днів (всього)</t>
  </si>
  <si>
    <t xml:space="preserve">вузьке місце</t>
  </si>
  <si>
    <t xml:space="preserve">Монтаж — календарних днів</t>
  </si>
  <si>
    <t xml:space="preserve">Тестування — календарних днів</t>
  </si>
  <si>
    <t xml:space="preserve">Польова тривалість (з нахлестом) + буфер</t>
  </si>
  <si>
    <t xml:space="preserve">планова</t>
  </si>
  <si>
    <t xml:space="preserve">Польова тривалість (послідовно)</t>
  </si>
  <si>
    <t xml:space="preserve">консервативно</t>
  </si>
  <si>
    <t xml:space="preserve">Осіб у полі (всього)</t>
  </si>
  <si>
    <t xml:space="preserve">5. СКІЛЬКИ ПОТРІБНО ТЕСТ-БРИГАД? (тестування — вузьке місце)</t>
  </si>
  <si>
    <t xml:space="preserve">Тест-бригад</t>
  </si>
  <si>
    <t xml:space="preserve">Календарних днів</t>
  </si>
  <si>
    <t xml:space="preserve">Робочих тижнів</t>
  </si>
  <si>
    <t xml:space="preserve">Орієнтир — 3 тест-бригади (~17 роб. днів ≈ 3 тижні). Регулюйте кількістю бригад у блоці 3.</t>
  </si>
  <si>
    <t xml:space="preserve">Ресурсний план — Greensource SGM 110 MWp · Фаза 2 · випробування 50 точок</t>
  </si>
  <si>
    <t xml:space="preserve">№</t>
  </si>
  <si>
    <t xml:space="preserve">Категорія RBS</t>
  </si>
  <si>
    <t xml:space="preserve">Ресурс / стаття витрат</t>
  </si>
  <si>
    <t xml:space="preserve">Тип</t>
  </si>
  <si>
    <t xml:space="preserve">Одиниця</t>
  </si>
  <si>
    <t xml:space="preserve">Кількість</t>
  </si>
  <si>
    <t xml:space="preserve">Ставка, €</t>
  </si>
  <si>
    <t xml:space="preserve">Вартість, €</t>
  </si>
  <si>
    <t xml:space="preserve">Постачальник</t>
  </si>
  <si>
    <t xml:space="preserve">Джерело к-сті / примітка</t>
  </si>
  <si>
    <t xml:space="preserve">1 Персонал</t>
  </si>
  <si>
    <t xml:space="preserve">Геотехнічний експерт (випробування)</t>
  </si>
  <si>
    <t xml:space="preserve">Послуга</t>
  </si>
  <si>
    <t xml:space="preserve">люд-день</t>
  </si>
  <si>
    <t xml:space="preserve">1 експерт/бригаду × бригадо-дні тесту</t>
  </si>
  <si>
    <t xml:space="preserve">Оператор ГАЙКа (вкручення/забиття)</t>
  </si>
  <si>
    <t xml:space="preserve">ЗП / бригада</t>
  </si>
  <si>
    <t xml:space="preserve">бригадо-дні монтажу</t>
  </si>
  <si>
    <t xml:space="preserve">Оператор предрил-установки</t>
  </si>
  <si>
    <t xml:space="preserve">частка геошурупів</t>
  </si>
  <si>
    <t xml:space="preserve">Помічники монтажу</t>
  </si>
  <si>
    <t xml:space="preserve">≈2 на бригаду</t>
  </si>
  <si>
    <t xml:space="preserve">Технік/помічник випробувань</t>
  </si>
  <si>
    <t xml:space="preserve">1 на тест-бригаду</t>
  </si>
  <si>
    <t xml:space="preserve">Супервайзер робіт</t>
  </si>
  <si>
    <t xml:space="preserve">вся польова тривалість</t>
  </si>
  <si>
    <t xml:space="preserve">Геодезист (розмітка 50 точок)</t>
  </si>
  <si>
    <t xml:space="preserve">≈25 точок/день</t>
  </si>
  <si>
    <t xml:space="preserve">Разом: 1 Персонал</t>
  </si>
  <si>
    <t xml:space="preserve">2 Обладнання</t>
  </si>
  <si>
    <t xml:space="preserve">ГАЙК — гайковерт/копер</t>
  </si>
  <si>
    <t xml:space="preserve">Оренда</t>
  </si>
  <si>
    <t xml:space="preserve">бригадо-день</t>
  </si>
  <si>
    <t xml:space="preserve">вкручення + забиття</t>
  </si>
  <si>
    <t xml:space="preserve">Предрил-установка (буріння)</t>
  </si>
  <si>
    <t xml:space="preserve">тільки геошурупи</t>
  </si>
  <si>
    <t xml:space="preserve">Квадроцикл (переміщення полем)</t>
  </si>
  <si>
    <t xml:space="preserve">монтаж + тест</t>
  </si>
  <si>
    <t xml:space="preserve">Комплект «виривання»: домкрат, насос, реакц. балка, динамометр, індикатори</t>
  </si>
  <si>
    <t xml:space="preserve">pull-out</t>
  </si>
  <si>
    <t xml:space="preserve">Комплект «стиск»: домкрат, реакц. система, прогиноміри</t>
  </si>
  <si>
    <t xml:space="preserve">compression</t>
  </si>
  <si>
    <t xml:space="preserve">Генератор</t>
  </si>
  <si>
    <t xml:space="preserve">живлення насосів/приладів</t>
  </si>
  <si>
    <t xml:space="preserve">Повірка/калібрування приладів</t>
  </si>
  <si>
    <t xml:space="preserve">к-т</t>
  </si>
  <si>
    <t xml:space="preserve">перед стартом, на тест-бригаду</t>
  </si>
  <si>
    <t xml:space="preserve">Разом: 2 Обладнання</t>
  </si>
  <si>
    <t xml:space="preserve">3 Матеріали</t>
  </si>
  <si>
    <t xml:space="preserve">Геошурупи тестові</t>
  </si>
  <si>
    <t xml:space="preserve">Купівля</t>
  </si>
  <si>
    <t xml:space="preserve">за к-стю геошурупів</t>
  </si>
  <si>
    <t xml:space="preserve">Забивні палі тестові</t>
  </si>
  <si>
    <t xml:space="preserve">за к-стю забивних</t>
  </si>
  <si>
    <t xml:space="preserve">Реакційні анкери/палі (pull-out)</t>
  </si>
  <si>
    <t xml:space="preserve">≈2 на точку</t>
  </si>
  <si>
    <t xml:space="preserve">Витратники предрилу (коронки/свердла)</t>
  </si>
  <si>
    <t xml:space="preserve">компл</t>
  </si>
  <si>
    <t xml:space="preserve">ГСМ (дизель / бензин A-95)</t>
  </si>
  <si>
    <t xml:space="preserve">л</t>
  </si>
  <si>
    <t xml:space="preserve">≈ бригадо-дні × добова витрата</t>
  </si>
  <si>
    <t xml:space="preserve">Метизи / дрібні розхідники</t>
  </si>
  <si>
    <t xml:space="preserve">дозаповнити</t>
  </si>
  <si>
    <t xml:space="preserve">Разом: 3 Матеріали</t>
  </si>
  <si>
    <t xml:space="preserve">4 Логістика/відрядж.</t>
  </si>
  <si>
    <t xml:space="preserve">Мобілізація/демобілізація обладнання</t>
  </si>
  <si>
    <t xml:space="preserve">рейс</t>
  </si>
  <si>
    <t xml:space="preserve">туди-назад</t>
  </si>
  <si>
    <t xml:space="preserve">Проїзд бригад (до об'єкта і назад)</t>
  </si>
  <si>
    <t xml:space="preserve">за положенням про відрядження</t>
  </si>
  <si>
    <t xml:space="preserve">Проживання (готель)</t>
  </si>
  <si>
    <t xml:space="preserve">людино-ніч</t>
  </si>
  <si>
    <t xml:space="preserve">осіб × польові дні</t>
  </si>
  <si>
    <t xml:space="preserve">Добові</t>
  </si>
  <si>
    <t xml:space="preserve">за положенням; авансовий звіт</t>
  </si>
  <si>
    <t xml:space="preserve">Місцевий трансфер (готель↔майданчик)</t>
  </si>
  <si>
    <t xml:space="preserve">щоденно</t>
  </si>
  <si>
    <t xml:space="preserve">Оренда/паливо авто для переміщень</t>
  </si>
  <si>
    <t xml:space="preserve">Змішано</t>
  </si>
  <si>
    <t xml:space="preserve">Разом: 4 Логістика/відрядж.</t>
  </si>
  <si>
    <t xml:space="preserve">5 Польові умови</t>
  </si>
  <si>
    <t xml:space="preserve">Намет/навіс/побутівка на майданчику</t>
  </si>
  <si>
    <t xml:space="preserve">1 на бригаду; тінь/дощ</t>
  </si>
  <si>
    <t xml:space="preserve">Питна вода та електроліти (жара)</t>
  </si>
  <si>
    <t xml:space="preserve">Дощовики, непромокальний одяг, гумове взуття</t>
  </si>
  <si>
    <t xml:space="preserve">на особу</t>
  </si>
  <si>
    <t xml:space="preserve">Сонцезахист (креми, головні убори)</t>
  </si>
  <si>
    <t xml:space="preserve">Тенти/кейси для захисту обладнання від дощу й пилу</t>
  </si>
  <si>
    <t xml:space="preserve">Біотуалет / умивальник (оренда)</t>
  </si>
  <si>
    <t xml:space="preserve">міс</t>
  </si>
  <si>
    <t xml:space="preserve">за тривалістю</t>
  </si>
  <si>
    <t xml:space="preserve">Аптечка / медзабезпечення</t>
  </si>
  <si>
    <t xml:space="preserve">1 на бригаду</t>
  </si>
  <si>
    <t xml:space="preserve">Разом: 5 Польові умови</t>
  </si>
  <si>
    <t xml:space="preserve">6 Документи/ТБ</t>
  </si>
  <si>
    <t xml:space="preserve">Протоколи випробувань + підсумковий звіт</t>
  </si>
  <si>
    <t xml:space="preserve">звіт по 50 точках</t>
  </si>
  <si>
    <t xml:space="preserve">Дозволи/погодження на майданчику</t>
  </si>
  <si>
    <t xml:space="preserve">—</t>
  </si>
  <si>
    <t xml:space="preserve">ЗІЗ / інструктаж з ТБ</t>
  </si>
  <si>
    <t xml:space="preserve">Страхування обладнання/робіт</t>
  </si>
  <si>
    <t xml:space="preserve">поліс</t>
  </si>
  <si>
    <t xml:space="preserve">на період Фази 2</t>
  </si>
  <si>
    <t xml:space="preserve">Разом: 6 Документи/ТБ</t>
  </si>
  <si>
    <t xml:space="preserve">РАЗОМ ПРЯМІ ВИТРАТИ</t>
  </si>
  <si>
    <t xml:space="preserve">РАЗОМ БЮДЖЕТ ФАЗИ 2 (з резервом)</t>
  </si>
  <si>
    <t xml:space="preserve">Тип статті</t>
  </si>
  <si>
    <t xml:space="preserve">7 Резерв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</si>
</sst>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##"/>
    <numFmt numFmtId="167" formatCode="#,##0.00&quot; €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0"/>
      <color rgb="FF16233A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1"/>
      <color rgb="FFE2683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A94A6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3E9C6B"/>
      <name val="Arial"/>
      <family val="0"/>
      <charset val="1"/>
    </font>
    <font>
      <b val="true"/>
      <sz val="10"/>
      <color rgb="FF3E9C6B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33A"/>
        <bgColor rgb="FF1A2332"/>
      </patternFill>
    </fill>
    <fill>
      <patternFill patternType="solid">
        <fgColor rgb="FFF4F6F9"/>
        <bgColor rgb="FFFFFFFF"/>
      </patternFill>
    </fill>
    <fill>
      <patternFill patternType="solid">
        <fgColor rgb="FFFFF3CD"/>
        <bgColor rgb="FFF4F6F9"/>
      </patternFill>
    </fill>
    <fill>
      <patternFill patternType="solid">
        <fgColor rgb="FFFFFFFF"/>
        <bgColor rgb="FFF4F6F9"/>
      </patternFill>
    </fill>
    <fill>
      <patternFill patternType="solid">
        <fgColor rgb="FFE2683C"/>
        <bgColor rgb="FFFF8080"/>
      </patternFill>
    </fill>
    <fill>
      <patternFill patternType="solid">
        <fgColor rgb="FFD9F2E4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4F6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683C"/>
      <rgbColor rgb="FF666699"/>
      <rgbColor rgb="FF8A94A6"/>
      <rgbColor rgb="FF16233A"/>
      <rgbColor rgb="FF3E9C6B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92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66.75" hidden="false" customHeight="true" outlineLevel="0" collapsed="false">
      <c r="B5" s="4" t="s">
        <v>2</v>
      </c>
      <c r="C5" s="5" t="s">
        <v>3</v>
      </c>
    </row>
    <row r="6" customFormat="false" ht="21.75" hidden="false" customHeight="true" outlineLevel="0" collapsed="false">
      <c r="B6" s="6" t="s">
        <v>4</v>
      </c>
      <c r="C6" s="6"/>
    </row>
    <row r="7" customFormat="false" ht="54" hidden="false" customHeight="true" outlineLevel="0" collapsed="false">
      <c r="B7" s="4" t="s">
        <v>5</v>
      </c>
      <c r="C7" s="5" t="s">
        <v>6</v>
      </c>
    </row>
    <row r="8" customFormat="false" ht="54" hidden="false" customHeight="true" outlineLevel="0" collapsed="false">
      <c r="B8" s="4" t="s">
        <v>7</v>
      </c>
      <c r="C8" s="5" t="s">
        <v>8</v>
      </c>
    </row>
    <row r="9" customFormat="false" ht="54" hidden="false" customHeight="true" outlineLevel="0" collapsed="false">
      <c r="B9" s="4" t="s">
        <v>9</v>
      </c>
      <c r="C9" s="5" t="s">
        <v>10</v>
      </c>
    </row>
    <row r="10" customFormat="false" ht="21.75" hidden="false" customHeight="true" outlineLevel="0" collapsed="false">
      <c r="B10" s="6" t="s">
        <v>11</v>
      </c>
      <c r="C10" s="6"/>
    </row>
    <row r="11" customFormat="false" ht="40.5" hidden="false" customHeight="true" outlineLevel="0" collapsed="false">
      <c r="B11" s="4" t="s">
        <v>12</v>
      </c>
      <c r="C11" s="5" t="s">
        <v>13</v>
      </c>
    </row>
    <row r="12" customFormat="false" ht="54" hidden="false" customHeight="true" outlineLevel="0" collapsed="false">
      <c r="B12" s="4" t="s">
        <v>14</v>
      </c>
      <c r="C12" s="5" t="s">
        <v>15</v>
      </c>
    </row>
    <row r="13" customFormat="false" ht="27.75" hidden="false" customHeight="true" outlineLevel="0" collapsed="false">
      <c r="B13" s="4" t="s">
        <v>16</v>
      </c>
      <c r="C13" s="5" t="s">
        <v>17</v>
      </c>
    </row>
    <row r="14" customFormat="false" ht="40.5" hidden="false" customHeight="true" outlineLevel="0" collapsed="false">
      <c r="B14" s="4" t="s">
        <v>18</v>
      </c>
      <c r="C14" s="5" t="s">
        <v>19</v>
      </c>
    </row>
    <row r="15" customFormat="false" ht="21.75" hidden="false" customHeight="true" outlineLevel="0" collapsed="false">
      <c r="B15" s="6" t="s">
        <v>20</v>
      </c>
      <c r="C15" s="6"/>
    </row>
    <row r="16" customFormat="false" ht="40.5" hidden="false" customHeight="true" outlineLevel="0" collapsed="false">
      <c r="B16" s="4" t="s">
        <v>21</v>
      </c>
      <c r="C16" s="5" t="s">
        <v>22</v>
      </c>
    </row>
    <row r="17" customFormat="false" ht="40.5" hidden="false" customHeight="true" outlineLevel="0" collapsed="false">
      <c r="B17" s="4" t="s">
        <v>23</v>
      </c>
      <c r="C17" s="5" t="s">
        <v>24</v>
      </c>
    </row>
    <row r="19" customFormat="false" ht="15" hidden="false" customHeight="true" outlineLevel="0" collapsed="false">
      <c r="B19" s="6" t="s">
        <v>25</v>
      </c>
      <c r="C19" s="6"/>
    </row>
    <row r="20" customFormat="false" ht="15" hidden="false" customHeight="true" outlineLevel="0" collapsed="false">
      <c r="B20" s="7"/>
      <c r="C20" s="5" t="s">
        <v>26</v>
      </c>
    </row>
    <row r="21" customFormat="false" ht="15" hidden="false" customHeight="true" outlineLevel="0" collapsed="false">
      <c r="B21" s="8"/>
      <c r="C21" s="5" t="s">
        <v>27</v>
      </c>
    </row>
    <row r="22" customFormat="false" ht="15" hidden="false" customHeight="true" outlineLevel="0" collapsed="false">
      <c r="B22" s="9"/>
      <c r="C22" s="5" t="s">
        <v>28</v>
      </c>
    </row>
  </sheetData>
  <mergeCells count="6">
    <mergeCell ref="B2:C2"/>
    <mergeCell ref="B3:C3"/>
    <mergeCell ref="B6:C6"/>
    <mergeCell ref="B10:C10"/>
    <mergeCell ref="B15:C15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44"/>
  </cols>
  <sheetData>
    <row r="1" customFormat="false" ht="30" hidden="false" customHeight="true" outlineLevel="0" collapsed="false">
      <c r="B1" s="2" t="s">
        <v>29</v>
      </c>
      <c r="C1" s="2"/>
      <c r="D1" s="2"/>
      <c r="E1" s="2"/>
    </row>
    <row r="4" customFormat="false" ht="21.75" hidden="false" customHeight="true" outlineLevel="0" collapsed="false">
      <c r="B4" s="6" t="s">
        <v>30</v>
      </c>
      <c r="C4" s="6"/>
      <c r="D4" s="6"/>
      <c r="E4" s="6"/>
    </row>
    <row r="5" customFormat="false" ht="18" hidden="false" customHeight="true" outlineLevel="0" collapsed="false">
      <c r="B5" s="10" t="s">
        <v>31</v>
      </c>
      <c r="C5" s="11" t="n">
        <v>50</v>
      </c>
      <c r="D5" s="12" t="s">
        <v>32</v>
      </c>
      <c r="E5" s="13"/>
    </row>
    <row r="6" customFormat="false" ht="18" hidden="false" customHeight="true" outlineLevel="0" collapsed="false">
      <c r="B6" s="10" t="s">
        <v>33</v>
      </c>
      <c r="C6" s="11" t="n">
        <v>45</v>
      </c>
      <c r="D6" s="12" t="s">
        <v>32</v>
      </c>
      <c r="E6" s="13" t="s">
        <v>34</v>
      </c>
    </row>
    <row r="7" customFormat="false" ht="18" hidden="false" customHeight="true" outlineLevel="0" collapsed="false">
      <c r="B7" s="10" t="s">
        <v>35</v>
      </c>
      <c r="C7" s="11" t="n">
        <v>5</v>
      </c>
      <c r="D7" s="12" t="s">
        <v>32</v>
      </c>
      <c r="E7" s="13"/>
    </row>
    <row r="8" customFormat="false" ht="18" hidden="false" customHeight="true" outlineLevel="0" collapsed="false">
      <c r="B8" s="10" t="s">
        <v>36</v>
      </c>
      <c r="C8" s="11" t="s">
        <v>37</v>
      </c>
      <c r="D8" s="12"/>
      <c r="E8" s="13" t="s">
        <v>38</v>
      </c>
    </row>
    <row r="9" customFormat="false" ht="18" hidden="false" customHeight="true" outlineLevel="0" collapsed="false">
      <c r="B9" s="10" t="s">
        <v>39</v>
      </c>
      <c r="C9" s="11" t="s">
        <v>37</v>
      </c>
      <c r="D9" s="12"/>
      <c r="E9" s="13" t="s">
        <v>40</v>
      </c>
    </row>
    <row r="10" customFormat="false" ht="18" hidden="false" customHeight="true" outlineLevel="0" collapsed="false">
      <c r="B10" s="10" t="s">
        <v>41</v>
      </c>
      <c r="C10" s="11" t="n">
        <v>2</v>
      </c>
      <c r="D10" s="12" t="s">
        <v>42</v>
      </c>
      <c r="E10" s="13" t="s">
        <v>43</v>
      </c>
    </row>
    <row r="11" customFormat="false" ht="18" hidden="false" customHeight="true" outlineLevel="0" collapsed="false">
      <c r="B11" s="10" t="s">
        <v>44</v>
      </c>
      <c r="C11" s="14" t="n">
        <v>0.12</v>
      </c>
      <c r="D11" s="12" t="s">
        <v>45</v>
      </c>
      <c r="E11" s="13" t="s">
        <v>46</v>
      </c>
    </row>
    <row r="12" customFormat="false" ht="21.75" hidden="false" customHeight="true" outlineLevel="0" collapsed="false">
      <c r="B12" s="6" t="s">
        <v>47</v>
      </c>
      <c r="C12" s="6"/>
      <c r="D12" s="6"/>
      <c r="E12" s="6"/>
    </row>
    <row r="13" customFormat="false" ht="18" hidden="false" customHeight="true" outlineLevel="0" collapsed="false">
      <c r="B13" s="10" t="s">
        <v>48</v>
      </c>
      <c r="C13" s="11" t="n">
        <v>2.5</v>
      </c>
      <c r="D13" s="12" t="s">
        <v>49</v>
      </c>
      <c r="E13" s="13" t="s">
        <v>50</v>
      </c>
    </row>
    <row r="14" customFormat="false" ht="18" hidden="false" customHeight="true" outlineLevel="0" collapsed="false">
      <c r="B14" s="10" t="s">
        <v>51</v>
      </c>
      <c r="C14" s="11" t="n">
        <v>1</v>
      </c>
      <c r="D14" s="12" t="s">
        <v>49</v>
      </c>
      <c r="E14" s="13" t="s">
        <v>52</v>
      </c>
    </row>
    <row r="15" customFormat="false" ht="18" hidden="false" customHeight="true" outlineLevel="0" collapsed="false">
      <c r="B15" s="10" t="s">
        <v>53</v>
      </c>
      <c r="C15" s="11" t="n">
        <v>6</v>
      </c>
      <c r="D15" s="12" t="s">
        <v>54</v>
      </c>
      <c r="E15" s="13"/>
    </row>
    <row r="17" customFormat="false" ht="21.75" hidden="false" customHeight="true" outlineLevel="0" collapsed="false">
      <c r="B17" s="6" t="s">
        <v>55</v>
      </c>
      <c r="C17" s="6"/>
      <c r="D17" s="6"/>
      <c r="E17" s="6"/>
    </row>
    <row r="18" customFormat="false" ht="18" hidden="false" customHeight="true" outlineLevel="0" collapsed="false">
      <c r="B18" s="10" t="s">
        <v>56</v>
      </c>
      <c r="C18" s="11" t="n">
        <v>2</v>
      </c>
      <c r="D18" s="12" t="s">
        <v>57</v>
      </c>
      <c r="E18" s="13"/>
    </row>
    <row r="19" customFormat="false" ht="18" hidden="false" customHeight="true" outlineLevel="0" collapsed="false">
      <c r="B19" s="10" t="s">
        <v>58</v>
      </c>
      <c r="C19" s="11" t="n">
        <v>3</v>
      </c>
      <c r="D19" s="12" t="s">
        <v>57</v>
      </c>
      <c r="E19" s="13" t="s">
        <v>59</v>
      </c>
    </row>
    <row r="20" customFormat="false" ht="18" hidden="false" customHeight="true" outlineLevel="0" collapsed="false">
      <c r="B20" s="10" t="s">
        <v>60</v>
      </c>
      <c r="C20" s="11" t="n">
        <v>4</v>
      </c>
      <c r="D20" s="12" t="s">
        <v>61</v>
      </c>
      <c r="E20" s="13"/>
    </row>
    <row r="21" customFormat="false" ht="18" hidden="false" customHeight="true" outlineLevel="0" collapsed="false">
      <c r="B21" s="10" t="s">
        <v>62</v>
      </c>
      <c r="C21" s="11" t="n">
        <v>2</v>
      </c>
      <c r="D21" s="12" t="s">
        <v>61</v>
      </c>
      <c r="E21" s="13" t="s">
        <v>63</v>
      </c>
    </row>
    <row r="23" customFormat="false" ht="21.75" hidden="false" customHeight="true" outlineLevel="0" collapsed="false">
      <c r="B23" s="6" t="s">
        <v>64</v>
      </c>
      <c r="C23" s="6"/>
      <c r="D23" s="6"/>
      <c r="E23" s="6"/>
    </row>
    <row r="24" customFormat="false" ht="18" hidden="false" customHeight="true" outlineLevel="0" collapsed="false">
      <c r="B24" s="10" t="s">
        <v>65</v>
      </c>
      <c r="C24" s="15" t="n">
        <f aca="false">ROUNDUP((C6+C7)/C13,0)</f>
        <v>20</v>
      </c>
      <c r="D24" s="12" t="s">
        <v>66</v>
      </c>
      <c r="E24" s="13"/>
    </row>
    <row r="25" customFormat="false" ht="18" hidden="false" customHeight="true" outlineLevel="0" collapsed="false">
      <c r="B25" s="10" t="s">
        <v>67</v>
      </c>
      <c r="C25" s="15" t="n">
        <f aca="false">ROUNDUP(C5/C14,0)</f>
        <v>50</v>
      </c>
      <c r="D25" s="12" t="s">
        <v>66</v>
      </c>
      <c r="E25" s="13" t="s">
        <v>68</v>
      </c>
    </row>
    <row r="26" customFormat="false" ht="18" hidden="false" customHeight="true" outlineLevel="0" collapsed="false">
      <c r="B26" s="10" t="s">
        <v>69</v>
      </c>
      <c r="C26" s="15" t="n">
        <f aca="false">ROUNDUP((C6+C7)/(C13*C18),0)</f>
        <v>10</v>
      </c>
      <c r="D26" s="12" t="s">
        <v>54</v>
      </c>
      <c r="E26" s="13"/>
    </row>
    <row r="27" customFormat="false" ht="18" hidden="false" customHeight="true" outlineLevel="0" collapsed="false">
      <c r="B27" s="10" t="s">
        <v>70</v>
      </c>
      <c r="C27" s="15" t="n">
        <f aca="false">ROUNDUP(C5/(C14*C19),0)</f>
        <v>17</v>
      </c>
      <c r="D27" s="12" t="s">
        <v>54</v>
      </c>
      <c r="E27" s="13"/>
    </row>
    <row r="28" customFormat="false" ht="18" hidden="false" customHeight="true" outlineLevel="0" collapsed="false">
      <c r="B28" s="10" t="s">
        <v>71</v>
      </c>
      <c r="C28" s="15" t="n">
        <f aca="false">MAX(C26,C27)+2</f>
        <v>19</v>
      </c>
      <c r="D28" s="12" t="s">
        <v>54</v>
      </c>
      <c r="E28" s="13" t="s">
        <v>72</v>
      </c>
    </row>
    <row r="29" customFormat="false" ht="18" hidden="false" customHeight="true" outlineLevel="0" collapsed="false">
      <c r="B29" s="10" t="s">
        <v>73</v>
      </c>
      <c r="C29" s="15" t="n">
        <f aca="false">C26+C27</f>
        <v>27</v>
      </c>
      <c r="D29" s="12" t="s">
        <v>54</v>
      </c>
      <c r="E29" s="13" t="s">
        <v>74</v>
      </c>
    </row>
    <row r="30" customFormat="false" ht="18" hidden="false" customHeight="true" outlineLevel="0" collapsed="false">
      <c r="B30" s="10" t="s">
        <v>75</v>
      </c>
      <c r="C30" s="15" t="n">
        <f aca="false">C18*C20+C19*C21</f>
        <v>14</v>
      </c>
      <c r="D30" s="12" t="s">
        <v>61</v>
      </c>
      <c r="E30" s="13"/>
    </row>
    <row r="32" customFormat="false" ht="21.75" hidden="false" customHeight="true" outlineLevel="0" collapsed="false">
      <c r="B32" s="6" t="s">
        <v>76</v>
      </c>
      <c r="C32" s="6"/>
      <c r="D32" s="6"/>
      <c r="E32" s="6"/>
    </row>
    <row r="33" customFormat="false" ht="25.5" hidden="false" customHeight="true" outlineLevel="0" collapsed="false">
      <c r="B33" s="16" t="s">
        <v>77</v>
      </c>
      <c r="C33" s="16" t="s">
        <v>78</v>
      </c>
      <c r="D33" s="16" t="s">
        <v>79</v>
      </c>
    </row>
    <row r="34" customFormat="false" ht="19.5" hidden="false" customHeight="true" outlineLevel="0" collapsed="false">
      <c r="B34" s="17" t="n">
        <v>1</v>
      </c>
      <c r="C34" s="18" t="n">
        <f aca="false">ROUNDUP($C$5/($C$14*B34),0)</f>
        <v>50</v>
      </c>
      <c r="D34" s="18" t="n">
        <f aca="false">ROUND(C34/$C$15,1)</f>
        <v>8.3</v>
      </c>
      <c r="E34" s="19" t="s">
        <v>80</v>
      </c>
    </row>
    <row r="35" customFormat="false" ht="19.5" hidden="false" customHeight="true" outlineLevel="0" collapsed="false">
      <c r="B35" s="17" t="n">
        <v>2</v>
      </c>
      <c r="C35" s="18" t="n">
        <f aca="false">ROUNDUP($C$5/($C$14*B35),0)</f>
        <v>25</v>
      </c>
      <c r="D35" s="18" t="n">
        <f aca="false">ROUND(C35/$C$15,1)</f>
        <v>4.2</v>
      </c>
      <c r="E35" s="19"/>
    </row>
    <row r="36" customFormat="false" ht="19.5" hidden="false" customHeight="true" outlineLevel="0" collapsed="false">
      <c r="B36" s="20" t="n">
        <v>3</v>
      </c>
      <c r="C36" s="21" t="n">
        <f aca="false">ROUNDUP($C$5/($C$14*B36),0)</f>
        <v>17</v>
      </c>
      <c r="D36" s="21" t="n">
        <f aca="false">ROUND(C36/$C$15,1)</f>
        <v>2.8</v>
      </c>
      <c r="E36" s="19"/>
    </row>
    <row r="37" customFormat="false" ht="19.5" hidden="false" customHeight="true" outlineLevel="0" collapsed="false">
      <c r="B37" s="17" t="n">
        <v>4</v>
      </c>
      <c r="C37" s="18" t="n">
        <f aca="false">ROUNDUP($C$5/($C$14*B37),0)</f>
        <v>13</v>
      </c>
      <c r="D37" s="18" t="n">
        <f aca="false">ROUND(C37/$C$15,1)</f>
        <v>2.2</v>
      </c>
      <c r="E37" s="19"/>
    </row>
  </sheetData>
  <mergeCells count="7">
    <mergeCell ref="B1:E1"/>
    <mergeCell ref="B4:E4"/>
    <mergeCell ref="B12:E12"/>
    <mergeCell ref="B17:E17"/>
    <mergeCell ref="B23:E23"/>
    <mergeCell ref="B32:E32"/>
    <mergeCell ref="E34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22" t="s">
        <v>81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30" hidden="false" customHeight="true" outlineLevel="0" collapsed="false">
      <c r="A2" s="16" t="s">
        <v>82</v>
      </c>
      <c r="B2" s="16" t="s">
        <v>83</v>
      </c>
      <c r="C2" s="16" t="s">
        <v>84</v>
      </c>
      <c r="D2" s="16" t="s">
        <v>85</v>
      </c>
      <c r="E2" s="16" t="s">
        <v>86</v>
      </c>
      <c r="F2" s="16" t="s">
        <v>87</v>
      </c>
      <c r="G2" s="16" t="s">
        <v>88</v>
      </c>
      <c r="H2" s="16" t="s">
        <v>89</v>
      </c>
      <c r="I2" s="16" t="s">
        <v>90</v>
      </c>
      <c r="J2" s="16" t="s">
        <v>91</v>
      </c>
    </row>
    <row r="3" customFormat="false" ht="19.5" hidden="false" customHeight="true" outlineLevel="0" collapsed="false">
      <c r="A3" s="23" t="s">
        <v>92</v>
      </c>
      <c r="B3" s="23"/>
      <c r="C3" s="23"/>
      <c r="D3" s="23"/>
      <c r="E3" s="23"/>
      <c r="F3" s="23"/>
      <c r="G3" s="23"/>
      <c r="H3" s="23"/>
      <c r="I3" s="23"/>
      <c r="J3" s="23"/>
    </row>
    <row r="4" customFormat="false" ht="27.75" hidden="false" customHeight="true" outlineLevel="0" collapsed="false">
      <c r="A4" s="17" t="n">
        <v>1</v>
      </c>
      <c r="B4" s="24" t="s">
        <v>92</v>
      </c>
      <c r="C4" s="10" t="s">
        <v>93</v>
      </c>
      <c r="D4" s="17" t="s">
        <v>94</v>
      </c>
      <c r="E4" s="17" t="s">
        <v>95</v>
      </c>
      <c r="F4" s="25" t="n">
        <f aca="false">Параметри!$C$25</f>
        <v>50</v>
      </c>
      <c r="G4" s="26"/>
      <c r="H4" s="27" t="n">
        <f aca="false">F4*G4</f>
        <v>0</v>
      </c>
      <c r="I4" s="28"/>
      <c r="J4" s="13" t="s">
        <v>96</v>
      </c>
    </row>
    <row r="5" customFormat="false" ht="27.75" hidden="false" customHeight="true" outlineLevel="0" collapsed="false">
      <c r="A5" s="17" t="n">
        <v>2</v>
      </c>
      <c r="B5" s="24" t="s">
        <v>92</v>
      </c>
      <c r="C5" s="10" t="s">
        <v>97</v>
      </c>
      <c r="D5" s="17" t="s">
        <v>98</v>
      </c>
      <c r="E5" s="17" t="s">
        <v>95</v>
      </c>
      <c r="F5" s="25" t="n">
        <f aca="false">Параметри!$C$24</f>
        <v>20</v>
      </c>
      <c r="G5" s="26"/>
      <c r="H5" s="27" t="n">
        <f aca="false">F5*G5</f>
        <v>0</v>
      </c>
      <c r="I5" s="28"/>
      <c r="J5" s="13" t="s">
        <v>99</v>
      </c>
    </row>
    <row r="6" customFormat="false" ht="27.75" hidden="false" customHeight="true" outlineLevel="0" collapsed="false">
      <c r="A6" s="17" t="n">
        <v>3</v>
      </c>
      <c r="B6" s="24" t="s">
        <v>92</v>
      </c>
      <c r="C6" s="10" t="s">
        <v>100</v>
      </c>
      <c r="D6" s="17" t="s">
        <v>98</v>
      </c>
      <c r="E6" s="17" t="s">
        <v>95</v>
      </c>
      <c r="F6" s="25" t="n">
        <f aca="false">ROUNDUP(Параметри!$C$24*Параметри!$C$6/(Параметри!$C$6+Параметри!$C$7),0)</f>
        <v>18</v>
      </c>
      <c r="G6" s="26"/>
      <c r="H6" s="27" t="n">
        <f aca="false">F6*G6</f>
        <v>0</v>
      </c>
      <c r="I6" s="28"/>
      <c r="J6" s="13" t="s">
        <v>101</v>
      </c>
    </row>
    <row r="7" customFormat="false" ht="27.75" hidden="false" customHeight="true" outlineLevel="0" collapsed="false">
      <c r="A7" s="17" t="n">
        <v>4</v>
      </c>
      <c r="B7" s="24" t="s">
        <v>92</v>
      </c>
      <c r="C7" s="10" t="s">
        <v>102</v>
      </c>
      <c r="D7" s="17" t="s">
        <v>98</v>
      </c>
      <c r="E7" s="17" t="s">
        <v>95</v>
      </c>
      <c r="F7" s="25" t="n">
        <f aca="false">Параметри!$C$24*2</f>
        <v>40</v>
      </c>
      <c r="G7" s="26"/>
      <c r="H7" s="27" t="n">
        <f aca="false">F7*G7</f>
        <v>0</v>
      </c>
      <c r="I7" s="28"/>
      <c r="J7" s="13" t="s">
        <v>103</v>
      </c>
    </row>
    <row r="8" customFormat="false" ht="27.75" hidden="false" customHeight="true" outlineLevel="0" collapsed="false">
      <c r="A8" s="17" t="n">
        <v>5</v>
      </c>
      <c r="B8" s="24" t="s">
        <v>92</v>
      </c>
      <c r="C8" s="10" t="s">
        <v>104</v>
      </c>
      <c r="D8" s="17" t="s">
        <v>98</v>
      </c>
      <c r="E8" s="17" t="s">
        <v>95</v>
      </c>
      <c r="F8" s="25" t="n">
        <f aca="false">Параметри!$C$25</f>
        <v>50</v>
      </c>
      <c r="G8" s="26"/>
      <c r="H8" s="27" t="n">
        <f aca="false">F8*G8</f>
        <v>0</v>
      </c>
      <c r="I8" s="28"/>
      <c r="J8" s="13" t="s">
        <v>105</v>
      </c>
    </row>
    <row r="9" customFormat="false" ht="27.75" hidden="false" customHeight="true" outlineLevel="0" collapsed="false">
      <c r="A9" s="17" t="n">
        <v>6</v>
      </c>
      <c r="B9" s="24" t="s">
        <v>92</v>
      </c>
      <c r="C9" s="10" t="s">
        <v>106</v>
      </c>
      <c r="D9" s="17" t="s">
        <v>98</v>
      </c>
      <c r="E9" s="17" t="s">
        <v>95</v>
      </c>
      <c r="F9" s="25" t="n">
        <f aca="false">Параметри!$C$28</f>
        <v>19</v>
      </c>
      <c r="G9" s="26"/>
      <c r="H9" s="27" t="n">
        <f aca="false">F9*G9</f>
        <v>0</v>
      </c>
      <c r="I9" s="28"/>
      <c r="J9" s="13" t="s">
        <v>107</v>
      </c>
    </row>
    <row r="10" customFormat="false" ht="27.75" hidden="false" customHeight="true" outlineLevel="0" collapsed="false">
      <c r="A10" s="17" t="n">
        <v>7</v>
      </c>
      <c r="B10" s="24" t="s">
        <v>92</v>
      </c>
      <c r="C10" s="10" t="s">
        <v>108</v>
      </c>
      <c r="D10" s="17" t="s">
        <v>94</v>
      </c>
      <c r="E10" s="17" t="s">
        <v>95</v>
      </c>
      <c r="F10" s="25" t="n">
        <f aca="false">ROUNDUP(Параметри!$C$5/25,0)</f>
        <v>2</v>
      </c>
      <c r="G10" s="26"/>
      <c r="H10" s="27" t="n">
        <f aca="false">F10*G10</f>
        <v>0</v>
      </c>
      <c r="I10" s="28"/>
      <c r="J10" s="13" t="s">
        <v>109</v>
      </c>
    </row>
    <row r="11" customFormat="false" ht="19.5" hidden="false" customHeight="true" outlineLevel="0" collapsed="false">
      <c r="A11" s="29"/>
      <c r="B11" s="29"/>
      <c r="C11" s="30" t="s">
        <v>110</v>
      </c>
      <c r="D11" s="29"/>
      <c r="E11" s="29"/>
      <c r="F11" s="29"/>
      <c r="G11" s="29"/>
      <c r="H11" s="31" t="n">
        <f aca="false">SUM(H4:H10)</f>
        <v>0</v>
      </c>
      <c r="I11" s="29"/>
      <c r="J11" s="29"/>
    </row>
    <row r="12" customFormat="false" ht="19.5" hidden="false" customHeight="true" outlineLevel="0" collapsed="false">
      <c r="A12" s="23" t="s">
        <v>111</v>
      </c>
      <c r="B12" s="23"/>
      <c r="C12" s="23"/>
      <c r="D12" s="23"/>
      <c r="E12" s="23"/>
      <c r="F12" s="23"/>
      <c r="G12" s="23"/>
      <c r="H12" s="23"/>
      <c r="I12" s="23"/>
      <c r="J12" s="23"/>
    </row>
    <row r="13" customFormat="false" ht="27.75" hidden="false" customHeight="true" outlineLevel="0" collapsed="false">
      <c r="A13" s="17" t="n">
        <v>8</v>
      </c>
      <c r="B13" s="24" t="s">
        <v>111</v>
      </c>
      <c r="C13" s="10" t="s">
        <v>112</v>
      </c>
      <c r="D13" s="17" t="s">
        <v>113</v>
      </c>
      <c r="E13" s="17" t="s">
        <v>114</v>
      </c>
      <c r="F13" s="25" t="n">
        <f aca="false">Параметри!$C$24</f>
        <v>20</v>
      </c>
      <c r="G13" s="26"/>
      <c r="H13" s="27" t="n">
        <f aca="false">F13*G13</f>
        <v>0</v>
      </c>
      <c r="I13" s="28"/>
      <c r="J13" s="13" t="s">
        <v>115</v>
      </c>
    </row>
    <row r="14" customFormat="false" ht="27.75" hidden="false" customHeight="true" outlineLevel="0" collapsed="false">
      <c r="A14" s="17" t="n">
        <v>9</v>
      </c>
      <c r="B14" s="24" t="s">
        <v>111</v>
      </c>
      <c r="C14" s="10" t="s">
        <v>116</v>
      </c>
      <c r="D14" s="17" t="s">
        <v>113</v>
      </c>
      <c r="E14" s="17" t="s">
        <v>114</v>
      </c>
      <c r="F14" s="25" t="n">
        <f aca="false">ROUNDUP(Параметри!$C$24*Параметри!$C$6/(Параметри!$C$6+Параметри!$C$7),0)</f>
        <v>18</v>
      </c>
      <c r="G14" s="26"/>
      <c r="H14" s="27" t="n">
        <f aca="false">F14*G14</f>
        <v>0</v>
      </c>
      <c r="I14" s="28"/>
      <c r="J14" s="13" t="s">
        <v>117</v>
      </c>
    </row>
    <row r="15" customFormat="false" ht="27.75" hidden="false" customHeight="true" outlineLevel="0" collapsed="false">
      <c r="A15" s="17" t="n">
        <v>10</v>
      </c>
      <c r="B15" s="24" t="s">
        <v>111</v>
      </c>
      <c r="C15" s="10" t="s">
        <v>118</v>
      </c>
      <c r="D15" s="17" t="s">
        <v>113</v>
      </c>
      <c r="E15" s="17" t="s">
        <v>114</v>
      </c>
      <c r="F15" s="25" t="n">
        <f aca="false">Параметри!$C$24+Параметри!$C$25</f>
        <v>70</v>
      </c>
      <c r="G15" s="26"/>
      <c r="H15" s="27" t="n">
        <f aca="false">F15*G15</f>
        <v>0</v>
      </c>
      <c r="I15" s="28"/>
      <c r="J15" s="13" t="s">
        <v>119</v>
      </c>
    </row>
    <row r="16" customFormat="false" ht="27.75" hidden="false" customHeight="true" outlineLevel="0" collapsed="false">
      <c r="A16" s="17" t="n">
        <v>11</v>
      </c>
      <c r="B16" s="24" t="s">
        <v>111</v>
      </c>
      <c r="C16" s="10" t="s">
        <v>120</v>
      </c>
      <c r="D16" s="17" t="s">
        <v>113</v>
      </c>
      <c r="E16" s="17" t="s">
        <v>114</v>
      </c>
      <c r="F16" s="25" t="n">
        <f aca="false">Параметри!$C$25</f>
        <v>50</v>
      </c>
      <c r="G16" s="26"/>
      <c r="H16" s="27" t="n">
        <f aca="false">F16*G16</f>
        <v>0</v>
      </c>
      <c r="I16" s="28"/>
      <c r="J16" s="13" t="s">
        <v>121</v>
      </c>
    </row>
    <row r="17" customFormat="false" ht="27.75" hidden="false" customHeight="true" outlineLevel="0" collapsed="false">
      <c r="A17" s="17" t="n">
        <v>12</v>
      </c>
      <c r="B17" s="24" t="s">
        <v>111</v>
      </c>
      <c r="C17" s="10" t="s">
        <v>122</v>
      </c>
      <c r="D17" s="17" t="s">
        <v>113</v>
      </c>
      <c r="E17" s="17" t="s">
        <v>114</v>
      </c>
      <c r="F17" s="25" t="n">
        <f aca="false">Параметри!$C$25</f>
        <v>50</v>
      </c>
      <c r="G17" s="26"/>
      <c r="H17" s="27" t="n">
        <f aca="false">F17*G17</f>
        <v>0</v>
      </c>
      <c r="I17" s="28"/>
      <c r="J17" s="13" t="s">
        <v>123</v>
      </c>
    </row>
    <row r="18" customFormat="false" ht="27.75" hidden="false" customHeight="true" outlineLevel="0" collapsed="false">
      <c r="A18" s="17" t="n">
        <v>13</v>
      </c>
      <c r="B18" s="24" t="s">
        <v>111</v>
      </c>
      <c r="C18" s="10" t="s">
        <v>124</v>
      </c>
      <c r="D18" s="17" t="s">
        <v>113</v>
      </c>
      <c r="E18" s="17" t="s">
        <v>114</v>
      </c>
      <c r="F18" s="25" t="n">
        <f aca="false">Параметри!$C$24+Параметри!$C$25</f>
        <v>70</v>
      </c>
      <c r="G18" s="26"/>
      <c r="H18" s="27" t="n">
        <f aca="false">F18*G18</f>
        <v>0</v>
      </c>
      <c r="I18" s="28"/>
      <c r="J18" s="13" t="s">
        <v>125</v>
      </c>
    </row>
    <row r="19" customFormat="false" ht="27.75" hidden="false" customHeight="true" outlineLevel="0" collapsed="false">
      <c r="A19" s="17" t="n">
        <v>14</v>
      </c>
      <c r="B19" s="24" t="s">
        <v>111</v>
      </c>
      <c r="C19" s="10" t="s">
        <v>126</v>
      </c>
      <c r="D19" s="17" t="s">
        <v>94</v>
      </c>
      <c r="E19" s="17" t="s">
        <v>127</v>
      </c>
      <c r="F19" s="25" t="n">
        <f aca="false">Параметри!$C$19</f>
        <v>3</v>
      </c>
      <c r="G19" s="26"/>
      <c r="H19" s="27" t="n">
        <f aca="false">F19*G19</f>
        <v>0</v>
      </c>
      <c r="I19" s="28"/>
      <c r="J19" s="13" t="s">
        <v>128</v>
      </c>
    </row>
    <row r="20" customFormat="false" ht="19.5" hidden="false" customHeight="true" outlineLevel="0" collapsed="false">
      <c r="A20" s="29"/>
      <c r="B20" s="29"/>
      <c r="C20" s="30" t="s">
        <v>129</v>
      </c>
      <c r="D20" s="29"/>
      <c r="E20" s="29"/>
      <c r="F20" s="29"/>
      <c r="G20" s="29"/>
      <c r="H20" s="31" t="n">
        <f aca="false">SUM(H13:H19)</f>
        <v>0</v>
      </c>
      <c r="I20" s="29"/>
      <c r="J20" s="29"/>
    </row>
    <row r="21" customFormat="false" ht="19.5" hidden="false" customHeight="true" outlineLevel="0" collapsed="false">
      <c r="A21" s="23" t="s">
        <v>130</v>
      </c>
      <c r="B21" s="23"/>
      <c r="C21" s="23"/>
      <c r="D21" s="23"/>
      <c r="E21" s="23"/>
      <c r="F21" s="23"/>
      <c r="G21" s="23"/>
      <c r="H21" s="23"/>
      <c r="I21" s="23"/>
      <c r="J21" s="23"/>
    </row>
    <row r="22" customFormat="false" ht="27.75" hidden="false" customHeight="true" outlineLevel="0" collapsed="false">
      <c r="A22" s="17" t="n">
        <v>15</v>
      </c>
      <c r="B22" s="24" t="s">
        <v>130</v>
      </c>
      <c r="C22" s="10" t="s">
        <v>131</v>
      </c>
      <c r="D22" s="17" t="s">
        <v>132</v>
      </c>
      <c r="E22" s="17" t="s">
        <v>42</v>
      </c>
      <c r="F22" s="25" t="n">
        <f aca="false">Параметри!$C$6</f>
        <v>45</v>
      </c>
      <c r="G22" s="26"/>
      <c r="H22" s="27" t="n">
        <f aca="false">F22*G22</f>
        <v>0</v>
      </c>
      <c r="I22" s="28"/>
      <c r="J22" s="13" t="s">
        <v>133</v>
      </c>
    </row>
    <row r="23" customFormat="false" ht="27.75" hidden="false" customHeight="true" outlineLevel="0" collapsed="false">
      <c r="A23" s="17" t="n">
        <v>16</v>
      </c>
      <c r="B23" s="24" t="s">
        <v>130</v>
      </c>
      <c r="C23" s="10" t="s">
        <v>134</v>
      </c>
      <c r="D23" s="17" t="s">
        <v>132</v>
      </c>
      <c r="E23" s="17" t="s">
        <v>42</v>
      </c>
      <c r="F23" s="25" t="n">
        <f aca="false">Параметри!$C$7</f>
        <v>5</v>
      </c>
      <c r="G23" s="26"/>
      <c r="H23" s="27" t="n">
        <f aca="false">F23*G23</f>
        <v>0</v>
      </c>
      <c r="I23" s="28"/>
      <c r="J23" s="13" t="s">
        <v>135</v>
      </c>
    </row>
    <row r="24" customFormat="false" ht="27.75" hidden="false" customHeight="true" outlineLevel="0" collapsed="false">
      <c r="A24" s="17" t="n">
        <v>17</v>
      </c>
      <c r="B24" s="24" t="s">
        <v>130</v>
      </c>
      <c r="C24" s="10" t="s">
        <v>136</v>
      </c>
      <c r="D24" s="17" t="s">
        <v>132</v>
      </c>
      <c r="E24" s="17" t="s">
        <v>42</v>
      </c>
      <c r="F24" s="25" t="n">
        <f aca="false">Параметри!$C$5*Параметри!$C$10</f>
        <v>100</v>
      </c>
      <c r="G24" s="26"/>
      <c r="H24" s="27" t="n">
        <f aca="false">F24*G24</f>
        <v>0</v>
      </c>
      <c r="I24" s="28"/>
      <c r="J24" s="13" t="s">
        <v>137</v>
      </c>
    </row>
    <row r="25" customFormat="false" ht="27.75" hidden="false" customHeight="true" outlineLevel="0" collapsed="false">
      <c r="A25" s="17" t="n">
        <v>18</v>
      </c>
      <c r="B25" s="24" t="s">
        <v>130</v>
      </c>
      <c r="C25" s="10" t="s">
        <v>138</v>
      </c>
      <c r="D25" s="17" t="s">
        <v>132</v>
      </c>
      <c r="E25" s="17" t="s">
        <v>139</v>
      </c>
      <c r="F25" s="25" t="n">
        <f aca="false">Параметри!$C$6</f>
        <v>45</v>
      </c>
      <c r="G25" s="26"/>
      <c r="H25" s="27" t="n">
        <f aca="false">F25*G25</f>
        <v>0</v>
      </c>
      <c r="I25" s="28"/>
      <c r="J25" s="13" t="s">
        <v>133</v>
      </c>
    </row>
    <row r="26" customFormat="false" ht="27.75" hidden="false" customHeight="true" outlineLevel="0" collapsed="false">
      <c r="A26" s="17" t="n">
        <v>19</v>
      </c>
      <c r="B26" s="24" t="s">
        <v>130</v>
      </c>
      <c r="C26" s="10" t="s">
        <v>140</v>
      </c>
      <c r="D26" s="17" t="s">
        <v>132</v>
      </c>
      <c r="E26" s="17" t="s">
        <v>141</v>
      </c>
      <c r="F26" s="32"/>
      <c r="G26" s="26"/>
      <c r="H26" s="27" t="n">
        <f aca="false">F26*G26</f>
        <v>0</v>
      </c>
      <c r="I26" s="28"/>
      <c r="J26" s="13" t="s">
        <v>142</v>
      </c>
    </row>
    <row r="27" customFormat="false" ht="27.75" hidden="false" customHeight="true" outlineLevel="0" collapsed="false">
      <c r="A27" s="17" t="n">
        <v>20</v>
      </c>
      <c r="B27" s="24" t="s">
        <v>130</v>
      </c>
      <c r="C27" s="10" t="s">
        <v>143</v>
      </c>
      <c r="D27" s="17" t="s">
        <v>132</v>
      </c>
      <c r="E27" s="17" t="s">
        <v>139</v>
      </c>
      <c r="F27" s="32"/>
      <c r="G27" s="26"/>
      <c r="H27" s="27" t="n">
        <f aca="false">F27*G27</f>
        <v>0</v>
      </c>
      <c r="I27" s="28"/>
      <c r="J27" s="13" t="s">
        <v>144</v>
      </c>
    </row>
    <row r="28" customFormat="false" ht="19.5" hidden="false" customHeight="true" outlineLevel="0" collapsed="false">
      <c r="A28" s="29"/>
      <c r="B28" s="29"/>
      <c r="C28" s="30" t="s">
        <v>145</v>
      </c>
      <c r="D28" s="29"/>
      <c r="E28" s="29"/>
      <c r="F28" s="29"/>
      <c r="G28" s="29"/>
      <c r="H28" s="31" t="n">
        <f aca="false">SUM(H22:H27)</f>
        <v>0</v>
      </c>
      <c r="I28" s="29"/>
      <c r="J28" s="29"/>
    </row>
    <row r="29" customFormat="false" ht="19.5" hidden="false" customHeight="true" outlineLevel="0" collapsed="false">
      <c r="A29" s="23" t="s">
        <v>146</v>
      </c>
      <c r="B29" s="23"/>
      <c r="C29" s="23"/>
      <c r="D29" s="23"/>
      <c r="E29" s="23"/>
      <c r="F29" s="23"/>
      <c r="G29" s="23"/>
      <c r="H29" s="23"/>
      <c r="I29" s="23"/>
      <c r="J29" s="23"/>
    </row>
    <row r="30" customFormat="false" ht="27.75" hidden="false" customHeight="true" outlineLevel="0" collapsed="false">
      <c r="A30" s="17" t="n">
        <v>21</v>
      </c>
      <c r="B30" s="24" t="s">
        <v>146</v>
      </c>
      <c r="C30" s="10" t="s">
        <v>147</v>
      </c>
      <c r="D30" s="17" t="s">
        <v>94</v>
      </c>
      <c r="E30" s="17" t="s">
        <v>148</v>
      </c>
      <c r="F30" s="25" t="n">
        <f aca="false">2</f>
        <v>2</v>
      </c>
      <c r="G30" s="26"/>
      <c r="H30" s="27" t="n">
        <f aca="false">F30*G30</f>
        <v>0</v>
      </c>
      <c r="I30" s="28"/>
      <c r="J30" s="13" t="s">
        <v>149</v>
      </c>
    </row>
    <row r="31" customFormat="false" ht="27.75" hidden="false" customHeight="true" outlineLevel="0" collapsed="false">
      <c r="A31" s="17" t="n">
        <v>22</v>
      </c>
      <c r="B31" s="24" t="s">
        <v>146</v>
      </c>
      <c r="C31" s="10" t="s">
        <v>150</v>
      </c>
      <c r="D31" s="17" t="s">
        <v>18</v>
      </c>
      <c r="E31" s="17" t="s">
        <v>61</v>
      </c>
      <c r="F31" s="25" t="n">
        <f aca="false">Параметри!$C$30</f>
        <v>14</v>
      </c>
      <c r="G31" s="26"/>
      <c r="H31" s="27" t="n">
        <f aca="false">F31*G31</f>
        <v>0</v>
      </c>
      <c r="I31" s="28"/>
      <c r="J31" s="13" t="s">
        <v>151</v>
      </c>
    </row>
    <row r="32" customFormat="false" ht="27.75" hidden="false" customHeight="true" outlineLevel="0" collapsed="false">
      <c r="A32" s="17" t="n">
        <v>23</v>
      </c>
      <c r="B32" s="24" t="s">
        <v>146</v>
      </c>
      <c r="C32" s="10" t="s">
        <v>152</v>
      </c>
      <c r="D32" s="17" t="s">
        <v>18</v>
      </c>
      <c r="E32" s="17" t="s">
        <v>153</v>
      </c>
      <c r="F32" s="25" t="n">
        <f aca="false">Параметри!$C$30*Параметри!$C$28</f>
        <v>266</v>
      </c>
      <c r="G32" s="26"/>
      <c r="H32" s="27" t="n">
        <f aca="false">F32*G32</f>
        <v>0</v>
      </c>
      <c r="I32" s="28"/>
      <c r="J32" s="13" t="s">
        <v>154</v>
      </c>
    </row>
    <row r="33" customFormat="false" ht="27.75" hidden="false" customHeight="true" outlineLevel="0" collapsed="false">
      <c r="A33" s="17" t="n">
        <v>24</v>
      </c>
      <c r="B33" s="24" t="s">
        <v>146</v>
      </c>
      <c r="C33" s="10" t="s">
        <v>155</v>
      </c>
      <c r="D33" s="17" t="s">
        <v>18</v>
      </c>
      <c r="E33" s="17" t="s">
        <v>95</v>
      </c>
      <c r="F33" s="25" t="n">
        <f aca="false">Параметри!$C$30*Параметри!$C$28</f>
        <v>266</v>
      </c>
      <c r="G33" s="26"/>
      <c r="H33" s="27" t="n">
        <f aca="false">F33*G33</f>
        <v>0</v>
      </c>
      <c r="I33" s="28"/>
      <c r="J33" s="13" t="s">
        <v>156</v>
      </c>
    </row>
    <row r="34" customFormat="false" ht="27.75" hidden="false" customHeight="true" outlineLevel="0" collapsed="false">
      <c r="A34" s="17" t="n">
        <v>25</v>
      </c>
      <c r="B34" s="24" t="s">
        <v>146</v>
      </c>
      <c r="C34" s="10" t="s">
        <v>157</v>
      </c>
      <c r="D34" s="17" t="s">
        <v>18</v>
      </c>
      <c r="E34" s="17" t="s">
        <v>95</v>
      </c>
      <c r="F34" s="25" t="n">
        <f aca="false">Параметри!$C$30*Параметри!$C$28</f>
        <v>266</v>
      </c>
      <c r="G34" s="26"/>
      <c r="H34" s="27" t="n">
        <f aca="false">F34*G34</f>
        <v>0</v>
      </c>
      <c r="I34" s="28"/>
      <c r="J34" s="13" t="s">
        <v>158</v>
      </c>
    </row>
    <row r="35" customFormat="false" ht="27.75" hidden="false" customHeight="true" outlineLevel="0" collapsed="false">
      <c r="A35" s="17" t="n">
        <v>26</v>
      </c>
      <c r="B35" s="24" t="s">
        <v>146</v>
      </c>
      <c r="C35" s="10" t="s">
        <v>159</v>
      </c>
      <c r="D35" s="17" t="s">
        <v>160</v>
      </c>
      <c r="E35" s="17" t="s">
        <v>141</v>
      </c>
      <c r="F35" s="32"/>
      <c r="G35" s="26"/>
      <c r="H35" s="27" t="n">
        <f aca="false">F35*G35</f>
        <v>0</v>
      </c>
      <c r="I35" s="28"/>
      <c r="J35" s="13" t="s">
        <v>144</v>
      </c>
    </row>
    <row r="36" customFormat="false" ht="19.5" hidden="false" customHeight="true" outlineLevel="0" collapsed="false">
      <c r="A36" s="29"/>
      <c r="B36" s="29"/>
      <c r="C36" s="30" t="s">
        <v>161</v>
      </c>
      <c r="D36" s="29"/>
      <c r="E36" s="29"/>
      <c r="F36" s="29"/>
      <c r="G36" s="29"/>
      <c r="H36" s="31" t="n">
        <f aca="false">SUM(H30:H35)</f>
        <v>0</v>
      </c>
      <c r="I36" s="29"/>
      <c r="J36" s="29"/>
    </row>
    <row r="37" customFormat="false" ht="19.5" hidden="false" customHeight="true" outlineLevel="0" collapsed="false">
      <c r="A37" s="23" t="s">
        <v>162</v>
      </c>
      <c r="B37" s="23"/>
      <c r="C37" s="23"/>
      <c r="D37" s="23"/>
      <c r="E37" s="23"/>
      <c r="F37" s="23"/>
      <c r="G37" s="23"/>
      <c r="H37" s="23"/>
      <c r="I37" s="23"/>
      <c r="J37" s="23"/>
    </row>
    <row r="38" customFormat="false" ht="27.75" hidden="false" customHeight="true" outlineLevel="0" collapsed="false">
      <c r="A38" s="17" t="n">
        <v>27</v>
      </c>
      <c r="B38" s="24" t="s">
        <v>162</v>
      </c>
      <c r="C38" s="10" t="s">
        <v>163</v>
      </c>
      <c r="D38" s="17" t="s">
        <v>113</v>
      </c>
      <c r="E38" s="17" t="s">
        <v>139</v>
      </c>
      <c r="F38" s="25" t="n">
        <f aca="false">Параметри!$C$18+Параметри!$C$19</f>
        <v>5</v>
      </c>
      <c r="G38" s="26"/>
      <c r="H38" s="27" t="n">
        <f aca="false">F38*G38</f>
        <v>0</v>
      </c>
      <c r="I38" s="28"/>
      <c r="J38" s="13" t="s">
        <v>164</v>
      </c>
    </row>
    <row r="39" customFormat="false" ht="27.75" hidden="false" customHeight="true" outlineLevel="0" collapsed="false">
      <c r="A39" s="17" t="n">
        <v>28</v>
      </c>
      <c r="B39" s="24" t="s">
        <v>162</v>
      </c>
      <c r="C39" s="10" t="s">
        <v>165</v>
      </c>
      <c r="D39" s="17" t="s">
        <v>132</v>
      </c>
      <c r="E39" s="17" t="s">
        <v>95</v>
      </c>
      <c r="F39" s="25" t="n">
        <f aca="false">Параметри!$C$30*Параметри!$C$28</f>
        <v>266</v>
      </c>
      <c r="G39" s="26"/>
      <c r="H39" s="27" t="n">
        <f aca="false">F39*G39</f>
        <v>0</v>
      </c>
      <c r="I39" s="28"/>
      <c r="J39" s="13" t="s">
        <v>154</v>
      </c>
    </row>
    <row r="40" customFormat="false" ht="27.75" hidden="false" customHeight="true" outlineLevel="0" collapsed="false">
      <c r="A40" s="17" t="n">
        <v>29</v>
      </c>
      <c r="B40" s="24" t="s">
        <v>162</v>
      </c>
      <c r="C40" s="10" t="s">
        <v>166</v>
      </c>
      <c r="D40" s="17" t="s">
        <v>132</v>
      </c>
      <c r="E40" s="17" t="s">
        <v>139</v>
      </c>
      <c r="F40" s="25" t="n">
        <f aca="false">Параметри!$C$30</f>
        <v>14</v>
      </c>
      <c r="G40" s="26"/>
      <c r="H40" s="27" t="n">
        <f aca="false">F40*G40</f>
        <v>0</v>
      </c>
      <c r="I40" s="28"/>
      <c r="J40" s="13" t="s">
        <v>167</v>
      </c>
    </row>
    <row r="41" customFormat="false" ht="27.75" hidden="false" customHeight="true" outlineLevel="0" collapsed="false">
      <c r="A41" s="17" t="n">
        <v>30</v>
      </c>
      <c r="B41" s="24" t="s">
        <v>162</v>
      </c>
      <c r="C41" s="10" t="s">
        <v>168</v>
      </c>
      <c r="D41" s="17" t="s">
        <v>132</v>
      </c>
      <c r="E41" s="17" t="s">
        <v>139</v>
      </c>
      <c r="F41" s="25" t="n">
        <f aca="false">Параметри!$C$30</f>
        <v>14</v>
      </c>
      <c r="G41" s="26"/>
      <c r="H41" s="27" t="n">
        <f aca="false">F41*G41</f>
        <v>0</v>
      </c>
      <c r="I41" s="28"/>
      <c r="J41" s="13" t="s">
        <v>167</v>
      </c>
    </row>
    <row r="42" customFormat="false" ht="27.75" hidden="false" customHeight="true" outlineLevel="0" collapsed="false">
      <c r="A42" s="17" t="n">
        <v>31</v>
      </c>
      <c r="B42" s="24" t="s">
        <v>162</v>
      </c>
      <c r="C42" s="10" t="s">
        <v>169</v>
      </c>
      <c r="D42" s="17" t="s">
        <v>132</v>
      </c>
      <c r="E42" s="17" t="s">
        <v>139</v>
      </c>
      <c r="F42" s="32"/>
      <c r="G42" s="26"/>
      <c r="H42" s="27" t="n">
        <f aca="false">F42*G42</f>
        <v>0</v>
      </c>
      <c r="I42" s="28"/>
      <c r="J42" s="13" t="s">
        <v>144</v>
      </c>
    </row>
    <row r="43" customFormat="false" ht="27.75" hidden="false" customHeight="true" outlineLevel="0" collapsed="false">
      <c r="A43" s="17" t="n">
        <v>32</v>
      </c>
      <c r="B43" s="24" t="s">
        <v>162</v>
      </c>
      <c r="C43" s="10" t="s">
        <v>170</v>
      </c>
      <c r="D43" s="17" t="s">
        <v>113</v>
      </c>
      <c r="E43" s="17" t="s">
        <v>171</v>
      </c>
      <c r="F43" s="32"/>
      <c r="G43" s="26"/>
      <c r="H43" s="27" t="n">
        <f aca="false">F43*G43</f>
        <v>0</v>
      </c>
      <c r="I43" s="28"/>
      <c r="J43" s="13" t="s">
        <v>172</v>
      </c>
    </row>
    <row r="44" customFormat="false" ht="27.75" hidden="false" customHeight="true" outlineLevel="0" collapsed="false">
      <c r="A44" s="17" t="n">
        <v>33</v>
      </c>
      <c r="B44" s="24" t="s">
        <v>162</v>
      </c>
      <c r="C44" s="10" t="s">
        <v>173</v>
      </c>
      <c r="D44" s="17" t="s">
        <v>132</v>
      </c>
      <c r="E44" s="17" t="s">
        <v>139</v>
      </c>
      <c r="F44" s="25" t="n">
        <f aca="false">Параметри!$C$18+Параметри!$C$19</f>
        <v>5</v>
      </c>
      <c r="G44" s="26"/>
      <c r="H44" s="27" t="n">
        <f aca="false">F44*G44</f>
        <v>0</v>
      </c>
      <c r="I44" s="28"/>
      <c r="J44" s="13" t="s">
        <v>174</v>
      </c>
    </row>
    <row r="45" customFormat="false" ht="19.5" hidden="false" customHeight="true" outlineLevel="0" collapsed="false">
      <c r="A45" s="29"/>
      <c r="B45" s="29"/>
      <c r="C45" s="30" t="s">
        <v>175</v>
      </c>
      <c r="D45" s="29"/>
      <c r="E45" s="29"/>
      <c r="F45" s="29"/>
      <c r="G45" s="29"/>
      <c r="H45" s="31" t="n">
        <f aca="false">SUM(H38:H44)</f>
        <v>0</v>
      </c>
      <c r="I45" s="29"/>
      <c r="J45" s="29"/>
    </row>
    <row r="46" customFormat="false" ht="19.5" hidden="false" customHeight="true" outlineLevel="0" collapsed="false">
      <c r="A46" s="23" t="s">
        <v>176</v>
      </c>
      <c r="B46" s="23"/>
      <c r="C46" s="23"/>
      <c r="D46" s="23"/>
      <c r="E46" s="23"/>
      <c r="F46" s="23"/>
      <c r="G46" s="23"/>
      <c r="H46" s="23"/>
      <c r="I46" s="23"/>
      <c r="J46" s="23"/>
    </row>
    <row r="47" customFormat="false" ht="27.75" hidden="false" customHeight="true" outlineLevel="0" collapsed="false">
      <c r="A47" s="17" t="n">
        <v>34</v>
      </c>
      <c r="B47" s="24" t="s">
        <v>176</v>
      </c>
      <c r="C47" s="10" t="s">
        <v>177</v>
      </c>
      <c r="D47" s="17" t="s">
        <v>94</v>
      </c>
      <c r="E47" s="17" t="s">
        <v>139</v>
      </c>
      <c r="F47" s="25" t="n">
        <f aca="false">1</f>
        <v>1</v>
      </c>
      <c r="G47" s="26"/>
      <c r="H47" s="27" t="n">
        <f aca="false">F47*G47</f>
        <v>0</v>
      </c>
      <c r="I47" s="28"/>
      <c r="J47" s="13" t="s">
        <v>178</v>
      </c>
    </row>
    <row r="48" customFormat="false" ht="27.75" hidden="false" customHeight="true" outlineLevel="0" collapsed="false">
      <c r="A48" s="17" t="n">
        <v>35</v>
      </c>
      <c r="B48" s="24" t="s">
        <v>176</v>
      </c>
      <c r="C48" s="10" t="s">
        <v>179</v>
      </c>
      <c r="D48" s="17" t="s">
        <v>94</v>
      </c>
      <c r="E48" s="17" t="s">
        <v>180</v>
      </c>
      <c r="F48" s="32"/>
      <c r="G48" s="26"/>
      <c r="H48" s="27" t="n">
        <f aca="false">F48*G48</f>
        <v>0</v>
      </c>
      <c r="I48" s="28"/>
      <c r="J48" s="13" t="s">
        <v>144</v>
      </c>
    </row>
    <row r="49" customFormat="false" ht="27.75" hidden="false" customHeight="true" outlineLevel="0" collapsed="false">
      <c r="A49" s="17" t="n">
        <v>36</v>
      </c>
      <c r="B49" s="24" t="s">
        <v>176</v>
      </c>
      <c r="C49" s="10" t="s">
        <v>181</v>
      </c>
      <c r="D49" s="17" t="s">
        <v>132</v>
      </c>
      <c r="E49" s="17" t="s">
        <v>139</v>
      </c>
      <c r="F49" s="25" t="n">
        <f aca="false">Параметри!$C$30</f>
        <v>14</v>
      </c>
      <c r="G49" s="26"/>
      <c r="H49" s="27" t="n">
        <f aca="false">F49*G49</f>
        <v>0</v>
      </c>
      <c r="I49" s="28"/>
      <c r="J49" s="13" t="s">
        <v>167</v>
      </c>
    </row>
    <row r="50" customFormat="false" ht="27.75" hidden="false" customHeight="true" outlineLevel="0" collapsed="false">
      <c r="A50" s="17" t="n">
        <v>37</v>
      </c>
      <c r="B50" s="24" t="s">
        <v>176</v>
      </c>
      <c r="C50" s="10" t="s">
        <v>182</v>
      </c>
      <c r="D50" s="17" t="s">
        <v>94</v>
      </c>
      <c r="E50" s="17" t="s">
        <v>183</v>
      </c>
      <c r="F50" s="25" t="n">
        <f aca="false">1</f>
        <v>1</v>
      </c>
      <c r="G50" s="26"/>
      <c r="H50" s="27" t="n">
        <f aca="false">F50*G50</f>
        <v>0</v>
      </c>
      <c r="I50" s="28"/>
      <c r="J50" s="13" t="s">
        <v>184</v>
      </c>
    </row>
    <row r="51" customFormat="false" ht="19.5" hidden="false" customHeight="true" outlineLevel="0" collapsed="false">
      <c r="A51" s="29"/>
      <c r="B51" s="29"/>
      <c r="C51" s="30" t="s">
        <v>185</v>
      </c>
      <c r="D51" s="29"/>
      <c r="E51" s="29"/>
      <c r="F51" s="29"/>
      <c r="G51" s="29"/>
      <c r="H51" s="31" t="n">
        <f aca="false">SUM(H47:H50)</f>
        <v>0</v>
      </c>
      <c r="I51" s="29"/>
      <c r="J51" s="29"/>
    </row>
    <row r="52" customFormat="false" ht="21.75" hidden="false" customHeight="true" outlineLevel="0" collapsed="false">
      <c r="A52" s="9"/>
      <c r="B52" s="9"/>
      <c r="C52" s="33" t="s">
        <v>186</v>
      </c>
      <c r="D52" s="9"/>
      <c r="E52" s="9"/>
      <c r="F52" s="9"/>
      <c r="G52" s="9"/>
      <c r="H52" s="34" t="n">
        <f aca="false">H11+H20+H28+H36+H45+H51</f>
        <v>0</v>
      </c>
      <c r="I52" s="9"/>
      <c r="J52" s="9"/>
    </row>
    <row r="53" customFormat="false" ht="19.5" hidden="false" customHeight="true" outlineLevel="0" collapsed="false">
      <c r="A53" s="29"/>
      <c r="B53" s="29"/>
      <c r="C53" s="35" t="s">
        <v>44</v>
      </c>
      <c r="D53" s="29"/>
      <c r="E53" s="29"/>
      <c r="F53" s="29"/>
      <c r="G53" s="36" t="n">
        <f aca="false">Параметри!$C$11</f>
        <v>0.12</v>
      </c>
      <c r="H53" s="37" t="n">
        <f aca="false">H52*Параметри!$C$11</f>
        <v>0</v>
      </c>
      <c r="I53" s="29"/>
      <c r="J53" s="29"/>
    </row>
    <row r="54" customFormat="false" ht="25.5" hidden="false" customHeight="true" outlineLevel="0" collapsed="false">
      <c r="A54" s="38"/>
      <c r="B54" s="38"/>
      <c r="C54" s="39" t="s">
        <v>187</v>
      </c>
      <c r="D54" s="38"/>
      <c r="E54" s="38"/>
      <c r="F54" s="38"/>
      <c r="G54" s="38"/>
      <c r="H54" s="40" t="n">
        <f aca="false">H52+H53</f>
        <v>0</v>
      </c>
      <c r="I54" s="38"/>
      <c r="J54" s="38"/>
    </row>
  </sheetData>
  <mergeCells count="7">
    <mergeCell ref="A1:J1"/>
    <mergeCell ref="A3:J3"/>
    <mergeCell ref="A12:J12"/>
    <mergeCell ref="A21:J21"/>
    <mergeCell ref="A29:J29"/>
    <mergeCell ref="A37:J37"/>
    <mergeCell ref="A46:J46"/>
  </mergeCells>
  <dataValidations count="2">
    <dataValidation allowBlank="true" errorStyle="stop" operator="between" showDropDown="false" showErrorMessage="false" showInputMessage="false" sqref="D4:D10 D13:D19 D22:D27 D30:D35 D38:D44 D47:D50" type="list">
      <formula1>Довідники!$A$2:$A$7</formula1>
      <formula2>0</formula2>
    </dataValidation>
    <dataValidation allowBlank="true" errorStyle="stop" operator="between" showDropDown="false" showErrorMessage="false" showInputMessage="false" sqref="E4:E10 E13:E19 E22:E27 E30:E35 E38:E44 E47:E50" type="list">
      <formula1>Довідники!$B$2:$B$12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6"/>
  </cols>
  <sheetData>
    <row r="1" customFormat="false" ht="27.75" hidden="false" customHeight="true" outlineLevel="0" collapsed="false">
      <c r="A1" s="41" t="s">
        <v>188</v>
      </c>
      <c r="B1" s="41" t="s">
        <v>86</v>
      </c>
      <c r="C1" s="41" t="s">
        <v>83</v>
      </c>
    </row>
    <row r="2" customFormat="false" ht="15" hidden="false" customHeight="true" outlineLevel="0" collapsed="false">
      <c r="A2" s="10" t="s">
        <v>113</v>
      </c>
      <c r="B2" s="10" t="s">
        <v>95</v>
      </c>
      <c r="C2" s="10" t="s">
        <v>92</v>
      </c>
    </row>
    <row r="3" customFormat="false" ht="15" hidden="false" customHeight="true" outlineLevel="0" collapsed="false">
      <c r="A3" s="10" t="s">
        <v>132</v>
      </c>
      <c r="B3" s="10" t="s">
        <v>114</v>
      </c>
      <c r="C3" s="10" t="s">
        <v>111</v>
      </c>
    </row>
    <row r="4" customFormat="false" ht="15" hidden="false" customHeight="true" outlineLevel="0" collapsed="false">
      <c r="A4" s="10" t="s">
        <v>94</v>
      </c>
      <c r="B4" s="10" t="s">
        <v>42</v>
      </c>
      <c r="C4" s="10" t="s">
        <v>130</v>
      </c>
    </row>
    <row r="5" customFormat="false" ht="15" hidden="false" customHeight="true" outlineLevel="0" collapsed="false">
      <c r="A5" s="10" t="s">
        <v>98</v>
      </c>
      <c r="B5" s="10" t="s">
        <v>139</v>
      </c>
      <c r="C5" s="10" t="s">
        <v>146</v>
      </c>
    </row>
    <row r="6" customFormat="false" ht="15" hidden="false" customHeight="true" outlineLevel="0" collapsed="false">
      <c r="A6" s="10" t="s">
        <v>18</v>
      </c>
      <c r="B6" s="10" t="s">
        <v>141</v>
      </c>
      <c r="C6" s="10" t="s">
        <v>162</v>
      </c>
    </row>
    <row r="7" customFormat="false" ht="15" hidden="false" customHeight="true" outlineLevel="0" collapsed="false">
      <c r="A7" s="10" t="s">
        <v>160</v>
      </c>
      <c r="B7" s="10" t="s">
        <v>153</v>
      </c>
      <c r="C7" s="10" t="s">
        <v>176</v>
      </c>
    </row>
    <row r="8" customFormat="false" ht="15" hidden="false" customHeight="true" outlineLevel="0" collapsed="false">
      <c r="B8" s="10" t="s">
        <v>148</v>
      </c>
      <c r="C8" s="10" t="s">
        <v>189</v>
      </c>
    </row>
    <row r="9" customFormat="false" ht="15" hidden="false" customHeight="true" outlineLevel="0" collapsed="false">
      <c r="B9" s="10" t="s">
        <v>127</v>
      </c>
    </row>
    <row r="10" customFormat="false" ht="15" hidden="false" customHeight="true" outlineLevel="0" collapsed="false">
      <c r="B10" s="10" t="s">
        <v>183</v>
      </c>
    </row>
    <row r="11" customFormat="false" ht="15" hidden="false" customHeight="true" outlineLevel="0" collapsed="false">
      <c r="B11" s="10" t="s">
        <v>171</v>
      </c>
    </row>
    <row r="12" customFormat="false" ht="15" hidden="false" customHeight="true" outlineLevel="0" collapsed="false">
      <c r="B12" s="1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2026-07-26T05:53:07Z</dcterms:created>
  <dc:creator>openpyxl</dc:creator>
  <dc:description/>
  <dc:language>en-US</dc:language>
  <cp:lastModifiedBy/>
  <dcterms:modified xsi:type="dcterms:W3CDTF">2026-07-26T06:22:39Z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