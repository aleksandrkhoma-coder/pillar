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єстр змін" sheetId="1" state="visible" r:id="rId3"/>
    <sheet name="Зведення" sheetId="2" state="visible" r:id="rId4"/>
  </sheets>
  <definedNames>
    <definedName function="false" hidden="true" localSheetId="0" name="_xlnm._FilterDatabase" vbProcedure="false">'Реєстр змін'!$A$4:$O$36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<sst xmlns="http://schemas.openxmlformats.org/spreadsheetml/2006/main" count="58" uniqueCount="52">
  <si>
    <t xml:space="preserve">РЕЄСТР ЗАПИТІВ НА ЗМІНИ (Change Request Log)</t>
  </si>
  <si>
    <t xml:space="preserve">Проєкт / Програма:</t>
  </si>
  <si>
    <t xml:space="preserve">№ CR</t>
  </si>
  <si>
    <t xml:space="preserve">Дата подання</t>
  </si>
  <si>
    <t xml:space="preserve">Назва зміни</t>
  </si>
  <si>
    <t xml:space="preserve">Автор</t>
  </si>
  <si>
    <t xml:space="preserve">Тип зміни</t>
  </si>
  <si>
    <t xml:space="preserve">Пріоритет</t>
  </si>
  <si>
    <t xml:space="preserve">Опис / обґрунтування</t>
  </si>
  <si>
    <t xml:space="preserve">Вплив: терміни</t>
  </si>
  <si>
    <t xml:space="preserve">Вплив: бюджет</t>
  </si>
  <si>
    <t xml:space="preserve">Статус</t>
  </si>
  <si>
    <t xml:space="preserve">Рішення CCB</t>
  </si>
  <si>
    <t xml:space="preserve">Дата рішення</t>
  </si>
  <si>
    <t xml:space="preserve">Відповідальний</t>
  </si>
  <si>
    <t xml:space="preserve">Дата закриття</t>
  </si>
  <si>
    <t xml:space="preserve">Коментар</t>
  </si>
  <si>
    <t xml:space="preserve">CR-2026-001</t>
  </si>
  <si>
    <t xml:space="preserve">12.06.2026</t>
  </si>
  <si>
    <t xml:space="preserve">Додати модуль звітності</t>
  </si>
  <si>
    <t xml:space="preserve">О. Хома</t>
  </si>
  <si>
    <t xml:space="preserve">Обсяг</t>
  </si>
  <si>
    <t xml:space="preserve">Високий</t>
  </si>
  <si>
    <t xml:space="preserve">Замовник запросив новий дашборд звітності</t>
  </si>
  <si>
    <t xml:space="preserve">+5 дн.</t>
  </si>
  <si>
    <t xml:space="preserve">+40 000 грн</t>
  </si>
  <si>
    <t xml:space="preserve">В роботі</t>
  </si>
  <si>
    <t xml:space="preserve">Затверджено</t>
  </si>
  <si>
    <t xml:space="preserve">15.06.2026</t>
  </si>
  <si>
    <t xml:space="preserve">І. Петренко</t>
  </si>
  <si>
    <t xml:space="preserve">Узгоджено на CCB</t>
  </si>
  <si>
    <t xml:space="preserve">CR-2026-002</t>
  </si>
  <si>
    <t xml:space="preserve">16.06.2026</t>
  </si>
  <si>
    <t xml:space="preserve">Зміна терміну етапу 2</t>
  </si>
  <si>
    <t xml:space="preserve">Терміни</t>
  </si>
  <si>
    <t xml:space="preserve">Середній</t>
  </si>
  <si>
    <t xml:space="preserve">Затримка постачання обладнання</t>
  </si>
  <si>
    <t xml:space="preserve">+10 дн.</t>
  </si>
  <si>
    <t xml:space="preserve">0</t>
  </si>
  <si>
    <t xml:space="preserve">Новий</t>
  </si>
  <si>
    <t xml:space="preserve">Відкладено</t>
  </si>
  <si>
    <t xml:space="preserve">Очікує даних від вендора</t>
  </si>
  <si>
    <t xml:space="preserve">ЗВЕДЕННЯ ПО ЗАПИТАХ НА ЗМІНИ</t>
  </si>
  <si>
    <t xml:space="preserve">За статусом</t>
  </si>
  <si>
    <t xml:space="preserve">На розгляді CCB</t>
  </si>
  <si>
    <t xml:space="preserve">Виконано</t>
  </si>
  <si>
    <t xml:space="preserve">Закрито</t>
  </si>
  <si>
    <t xml:space="preserve">Відхилено</t>
  </si>
  <si>
    <t xml:space="preserve">Разом</t>
  </si>
  <si>
    <t xml:space="preserve">За пріоритетом</t>
  </si>
  <si>
    <t xml:space="preserve">Критичний</t>
  </si>
  <si>
    <t xml:space="preserve">Низький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</si>
</sst>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38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1" min="10" style="0" width="16"/>
    <col collapsed="false" customWidth="true" hidden="false" outlineLevel="0" max="12" min="12" style="0" width="13"/>
    <col collapsed="false" customWidth="true" hidden="false" outlineLevel="0" max="13" min="13" style="0" width="18"/>
    <col collapsed="false" customWidth="true" hidden="false" outlineLevel="0" max="14" min="14" style="0" width="13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23.85" hidden="false" customHeight="false" outlineLevel="0" collapsed="false">
      <c r="A5" s="4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5" t="s">
        <v>29</v>
      </c>
      <c r="N5" s="5"/>
      <c r="O5" s="5" t="s">
        <v>30</v>
      </c>
    </row>
    <row r="6" customFormat="false" ht="15" hidden="false" customHeight="false" outlineLevel="0" collapsed="false">
      <c r="A6" s="6" t="s">
        <v>31</v>
      </c>
      <c r="B6" s="7" t="s">
        <v>32</v>
      </c>
      <c r="C6" s="7" t="s">
        <v>33</v>
      </c>
      <c r="D6" s="7" t="s">
        <v>20</v>
      </c>
      <c r="E6" s="7" t="s">
        <v>34</v>
      </c>
      <c r="F6" s="7" t="s">
        <v>35</v>
      </c>
      <c r="G6" s="7" t="s">
        <v>36</v>
      </c>
      <c r="H6" s="7" t="s">
        <v>37</v>
      </c>
      <c r="I6" s="7" t="s">
        <v>38</v>
      </c>
      <c r="J6" s="7" t="s">
        <v>39</v>
      </c>
      <c r="K6" s="7" t="s">
        <v>40</v>
      </c>
      <c r="L6" s="7"/>
      <c r="M6" s="7"/>
      <c r="N6" s="7"/>
      <c r="O6" s="7" t="s">
        <v>41</v>
      </c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</sheetData>
  <autoFilter ref="A4:O36"/>
  <dataValidations count="4">
    <dataValidation allowBlank="true" errorStyle="stop" operator="between" showDropDown="false" showErrorMessage="false" showInputMessage="false" sqref="E5:E36" type="list">
      <formula1>"Обсяг,Терміни,Бюджет,Якість,Ресурси,Ризики"</formula1>
      <formula2>0</formula2>
    </dataValidation>
    <dataValidation allowBlank="true" errorStyle="stop" operator="between" showDropDown="false" showErrorMessage="false" showInputMessage="false" sqref="F5:F36" type="list">
      <formula1>"Критичний,Високий,Середній,Низький"</formula1>
      <formula2>0</formula2>
    </dataValidation>
    <dataValidation allowBlank="true" errorStyle="stop" operator="between" showDropDown="false" showErrorMessage="false" showInputMessage="false" sqref="J5:J36" type="list">
      <formula1>"Новий,В роботі,На розгляді CCB,Виконано,Закрито,Відхилено"</formula1>
      <formula2>0</formula2>
    </dataValidation>
    <dataValidation allowBlank="true" errorStyle="stop" operator="between" showDropDown="false" showErrorMessage="false" showInputMessage="false" sqref="K5:K36" type="list">
      <formula1>"Затверджено,Відхилено,Відкладено,На доопрацювання"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42</v>
      </c>
    </row>
    <row r="3" customFormat="false" ht="15" hidden="false" customHeight="false" outlineLevel="0" collapsed="false">
      <c r="A3" s="8" t="s">
        <v>43</v>
      </c>
      <c r="B3" s="9"/>
    </row>
    <row r="4" customFormat="false" ht="15" hidden="false" customHeight="false" outlineLevel="0" collapsed="false">
      <c r="A4" s="10" t="s">
        <v>39</v>
      </c>
      <c r="B4" s="11" t="n">
        <f aca="false">COUNTIF('Реєстр змін'!$J$5:$J$36,"Новий")</f>
        <v>1</v>
      </c>
    </row>
    <row r="5" customFormat="false" ht="15" hidden="false" customHeight="false" outlineLevel="0" collapsed="false">
      <c r="A5" s="10" t="s">
        <v>26</v>
      </c>
      <c r="B5" s="11" t="n">
        <f aca="false">COUNTIF('Реєстр змін'!$J$5:$J$36,"В роботі")</f>
        <v>1</v>
      </c>
    </row>
    <row r="6" customFormat="false" ht="15" hidden="false" customHeight="false" outlineLevel="0" collapsed="false">
      <c r="A6" s="10" t="s">
        <v>44</v>
      </c>
      <c r="B6" s="11" t="n">
        <f aca="false">COUNTIF('Реєстр змін'!$J$5:$J$36,"На розгляді CCB")</f>
        <v>0</v>
      </c>
    </row>
    <row r="7" customFormat="false" ht="15" hidden="false" customHeight="false" outlineLevel="0" collapsed="false">
      <c r="A7" s="10" t="s">
        <v>45</v>
      </c>
      <c r="B7" s="11" t="n">
        <f aca="false">COUNTIF('Реєстр змін'!$J$5:$J$36,"Виконано")</f>
        <v>0</v>
      </c>
    </row>
    <row r="8" customFormat="false" ht="15" hidden="false" customHeight="false" outlineLevel="0" collapsed="false">
      <c r="A8" s="10" t="s">
        <v>46</v>
      </c>
      <c r="B8" s="11" t="n">
        <f aca="false">COUNTIF('Реєстр змін'!$J$5:$J$36,"Закрито")</f>
        <v>0</v>
      </c>
    </row>
    <row r="9" customFormat="false" ht="15" hidden="false" customHeight="false" outlineLevel="0" collapsed="false">
      <c r="A9" s="10" t="s">
        <v>47</v>
      </c>
      <c r="B9" s="11" t="n">
        <f aca="false">COUNTIF('Реєстр змін'!$J$5:$J$36,"Відхилено")</f>
        <v>0</v>
      </c>
    </row>
    <row r="10" customFormat="false" ht="15" hidden="false" customHeight="false" outlineLevel="0" collapsed="false">
      <c r="A10" s="12" t="s">
        <v>48</v>
      </c>
      <c r="B10" s="13" t="n">
        <f aca="false">SUM(B4:B9)</f>
        <v>2</v>
      </c>
    </row>
    <row r="12" customFormat="false" ht="15" hidden="false" customHeight="false" outlineLevel="0" collapsed="false">
      <c r="A12" s="8" t="s">
        <v>49</v>
      </c>
      <c r="B12" s="9"/>
    </row>
    <row r="13" customFormat="false" ht="15" hidden="false" customHeight="false" outlineLevel="0" collapsed="false">
      <c r="A13" s="10" t="s">
        <v>50</v>
      </c>
      <c r="B13" s="11" t="n">
        <f aca="false">COUNTIF('Реєстр змін'!$F$5:$F$36,"Критичний")</f>
        <v>0</v>
      </c>
    </row>
    <row r="14" customFormat="false" ht="15" hidden="false" customHeight="false" outlineLevel="0" collapsed="false">
      <c r="A14" s="10" t="s">
        <v>22</v>
      </c>
      <c r="B14" s="11" t="n">
        <f aca="false">COUNTIF('Реєстр змін'!$F$5:$F$36,"Високий")</f>
        <v>1</v>
      </c>
    </row>
    <row r="15" customFormat="false" ht="15" hidden="false" customHeight="false" outlineLevel="0" collapsed="false">
      <c r="A15" s="10" t="s">
        <v>35</v>
      </c>
      <c r="B15" s="11" t="n">
        <f aca="false">COUNTIF('Реєстр змін'!$F$5:$F$36,"Середній")</f>
        <v>1</v>
      </c>
    </row>
    <row r="16" customFormat="false" ht="15" hidden="false" customHeight="false" outlineLevel="0" collapsed="false">
      <c r="A16" s="10" t="s">
        <v>51</v>
      </c>
      <c r="B16" s="11" t="n">
        <f aca="false">COUNTIF('Реєстр змін'!$F$5:$F$36,"Низький")</f>
        <v>0</v>
      </c>
    </row>
    <row r="17" customFormat="false" ht="15" hidden="false" customHeight="false" outlineLevel="0" collapsed="false">
      <c r="A17" s="12" t="s">
        <v>48</v>
      </c>
      <c r="B17" s="13" t="n">
        <f aca="false">SUM(B13:B16)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2026-06-19T09:30:27Z</dcterms:created>
  <dc:creator>openpyxl</dc:creator>
  <dc:description/>
  <dc:language>en-US</dc:language>
  <cp:lastModifiedBy/>
  <dcterms:modified xsi:type="dcterms:W3CDTF">2026-06-19T09:30:27Z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